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
    </mc:Choice>
  </mc:AlternateContent>
  <xr:revisionPtr revIDLastSave="0" documentId="13_ncr:1_{B9E3B11A-78A7-408B-8D6B-E228D5957405}" xr6:coauthVersionLast="47" xr6:coauthVersionMax="47" xr10:uidLastSave="{00000000-0000-0000-0000-000000000000}"/>
  <bookViews>
    <workbookView xWindow="-120" yWindow="-120" windowWidth="29040" windowHeight="15720" tabRatio="629" activeTab="7" xr2:uid="{00000000-000D-0000-FFFF-FFFF00000000}"/>
  </bookViews>
  <sheets>
    <sheet name="Cover Page" sheetId="1" r:id="rId1"/>
    <sheet name="Test Plan" sheetId="2" r:id="rId2"/>
    <sheet name="Requirement Analysis" sheetId="3" r:id="rId3"/>
    <sheet name="RTM" sheetId="4" r:id="rId4"/>
    <sheet name="Module Overview" sheetId="5" r:id="rId5"/>
    <sheet name="Test Scenarios" sheetId="6" r:id="rId6"/>
    <sheet name="Test Cases" sheetId="7" r:id="rId7"/>
    <sheet name="Bug Report" sheetId="8" r:id="rId8"/>
    <sheet name="Test Summary Report" sheetId="9" r:id="rId9"/>
  </sheets>
  <definedNames>
    <definedName name="_xlnm._FilterDatabase" localSheetId="3" hidden="1">RTM!$A$1:$H$1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1" i="9" l="1"/>
  <c r="B31" i="9"/>
  <c r="D31" i="9" s="1"/>
  <c r="C30" i="9"/>
  <c r="B30" i="9"/>
  <c r="D30" i="9" s="1"/>
  <c r="C29" i="9"/>
  <c r="B29" i="9"/>
  <c r="D29" i="9" s="1"/>
  <c r="C28" i="9"/>
  <c r="C32" i="9" s="1"/>
  <c r="B28" i="9"/>
  <c r="B32" i="9" s="1"/>
  <c r="B50" i="4"/>
  <c r="B51" i="4" s="1"/>
  <c r="B49" i="4"/>
  <c r="D28" i="9" l="1"/>
  <c r="D32" i="9" s="1"/>
</calcChain>
</file>

<file path=xl/sharedStrings.xml><?xml version="1.0" encoding="utf-8"?>
<sst xmlns="http://schemas.openxmlformats.org/spreadsheetml/2006/main" count="2933" uniqueCount="1515">
  <si>
    <t>BAGISTO 2.4 – SOFTWARE QUALITY ASSURANCE</t>
  </si>
  <si>
    <t>Complete SQA Documentation Package</t>
  </si>
  <si>
    <t>Project URL</t>
  </si>
  <si>
    <t>https://github.com/bagisto/bagisto</t>
  </si>
  <si>
    <t>Technology Stack</t>
  </si>
  <si>
    <t>Laravel + MySQL</t>
  </si>
  <si>
    <t>Admin Email</t>
  </si>
  <si>
    <t>admin@example.com</t>
  </si>
  <si>
    <t>Admin Password</t>
  </si>
  <si>
    <t>admin123</t>
  </si>
  <si>
    <t>Customer Email</t>
  </si>
  <si>
    <t>ahnattanha562@gmail.com</t>
  </si>
  <si>
    <t>Customer Password</t>
  </si>
  <si>
    <t>12345678</t>
  </si>
  <si>
    <t>Prepared By</t>
  </si>
  <si>
    <t>SQA Engineer</t>
  </si>
  <si>
    <t>Version</t>
  </si>
  <si>
    <t>v1.0</t>
  </si>
  <si>
    <t>Total Requirements</t>
  </si>
  <si>
    <t>46</t>
  </si>
  <si>
    <t>Total Test Scenarios</t>
  </si>
  <si>
    <t>Total Test Cases</t>
  </si>
  <si>
    <t>155 Test Cases</t>
  </si>
  <si>
    <t>Document Set</t>
  </si>
  <si>
    <t>Test Plan, Requirement Analysis, RTM, Test Scenarios, Test Cases, Bug Report, Test Summary Report</t>
  </si>
  <si>
    <t>Contents of this Workbook</t>
  </si>
  <si>
    <t>1. Test Plan</t>
  </si>
  <si>
    <t>2. Requirement Analysis</t>
  </si>
  <si>
    <t>3. Requirement Traceability Matrix (RTM)</t>
  </si>
  <si>
    <t>4. Module Overview</t>
  </si>
  <si>
    <t>5. Test Scenarios</t>
  </si>
  <si>
    <t>6. Test Cases</t>
  </si>
  <si>
    <t>7. Bug Report</t>
  </si>
  <si>
    <t>8. Test Summary Report</t>
  </si>
  <si>
    <t>TEST PLAN – BAGISTO 2.4 E-COMMERCE PLATFORM</t>
  </si>
  <si>
    <t>1. Document Control</t>
  </si>
  <si>
    <t>Document Title</t>
  </si>
  <si>
    <t>Bagisto 2.4 SQA Test Plan</t>
  </si>
  <si>
    <t>Project</t>
  </si>
  <si>
    <t>Bagisto 2.4 (Open Source Laravel E-commerce Platform)</t>
  </si>
  <si>
    <t>Repository</t>
  </si>
  <si>
    <t>Status</t>
  </si>
  <si>
    <t>Draft</t>
  </si>
  <si>
    <t>2. Introduction / Objective</t>
  </si>
  <si>
    <t>Purpose</t>
  </si>
  <si>
    <t>To define the scope, approach, resources, and schedule of testing activities for the Bagisto 2.4 e-commerce application, ensuring all storefront and admin functionality works as per requirements before release.</t>
  </si>
  <si>
    <t>Application Under Test</t>
  </si>
  <si>
    <t>Bagisto 2.4 – Laravel + MySQL based multi-vendor e-commerce platform (storefront + admin panel).</t>
  </si>
  <si>
    <t>3. Scope of Testing</t>
  </si>
  <si>
    <t>In Scope</t>
  </si>
  <si>
    <t>Authentication (login/logout/registration/forgot password), Product Catalog (listing/search/filter/sort/detail/reviews), Shopping Cart, Checkout, Order Management, Admin – Catalog (products/categories/attributes), Admin – Orders, User Management, Admin – Settings (general/tax/shipping/payment), UI/UX &amp; Navigation, and basic Performance checks.</t>
  </si>
  <si>
    <t>Out of Scope</t>
  </si>
  <si>
    <t>Multi-vendor marketplace add-ons, payment gateway integrations beyond Cash on Delivery (Stripe/PayPal sandbox flows), third-party API integrations, native mobile apps, load/stress testing beyond basic page-load benchmarks, and automated test scripting (covered in a later phase of the roadmap).</t>
  </si>
  <si>
    <t>4. Test Approach / Strategy</t>
  </si>
  <si>
    <t>Testing Levels</t>
  </si>
  <si>
    <t>System Testing and User Acceptance style functional testing performed on the deployed local application.</t>
  </si>
  <si>
    <t>Testing Types</t>
  </si>
  <si>
    <t>Functional, UI/UX, Security (basic – SQL injection / session checks), and Performance (basic page-load timing).</t>
  </si>
  <si>
    <t>Testing Method</t>
  </si>
  <si>
    <t>Manual black-box testing using documented Test Scenarios and Test Cases derived from the Requirement Analysis sheet.</t>
  </si>
  <si>
    <t>Test Design Technique</t>
  </si>
  <si>
    <t>Equivalence Partitioning and Boundary Value Analysis for input fields; Error Guessing for security/edge cases.</t>
  </si>
  <si>
    <t>5. Roles &amp; Responsibilities</t>
  </si>
  <si>
    <t>Requirement analysis, test scenario &amp; test case design, test execution, bug reporting, RTM maintenance, and final test summary reporting.</t>
  </si>
  <si>
    <t>Developer / Dev Team</t>
  </si>
  <si>
    <t>Fixing reported defects and supporting root-cause analysis.</t>
  </si>
  <si>
    <t>Project Lead</t>
  </si>
  <si>
    <t>Reviewing the test plan, prioritizing defects, and sign-off on release readiness.</t>
  </si>
  <si>
    <t>6. Test Environment</t>
  </si>
  <si>
    <t>Environment</t>
  </si>
  <si>
    <t>Local development environment</t>
  </si>
  <si>
    <t>Browsers</t>
  </si>
  <si>
    <t>Chrome (primary), Firefox, Edge</t>
  </si>
  <si>
    <t>Devices</t>
  </si>
  <si>
    <t>Desktop, Tablet (emulated), Mobile (emulated) for responsive checks</t>
  </si>
  <si>
    <t>Test Accounts</t>
  </si>
  <si>
    <t>Admin: admin@example.com / admin123  |  Customer: ahnattanha562@gmail.com / 12345678</t>
  </si>
  <si>
    <t>7. Entry Criteria</t>
  </si>
  <si>
    <t>Criteria</t>
  </si>
  <si>
    <t>• Application build is deployed and accessible on the test environment.
• Requirement Analysis and Test Case documents are reviewed and approved.
• Test data (admin/customer accounts, sample products) is available.</t>
  </si>
  <si>
    <t>8. Exit Criteria</t>
  </si>
  <si>
    <t>• All planned test cases (155) have been executed.
• No open Critical or High severity defects remain unresolved.
• Test Summary Report is completed and shared with stakeholders.
• Pass rate meets the agreed quality threshold (≥ 95% of High priority cases passing).</t>
  </si>
  <si>
    <t>9. Suspension &amp; Resumption Criteria</t>
  </si>
  <si>
    <t>Suspension</t>
  </si>
  <si>
    <t>Testing is suspended if a Critical/Blocker defect prevents further progress (e.g., login broken, checkout fails for all flows).</t>
  </si>
  <si>
    <t>Resumption</t>
  </si>
  <si>
    <t>Testing resumes once the blocking defect is fixed, deployed, and verified.</t>
  </si>
  <si>
    <t>10. Deliverables</t>
  </si>
  <si>
    <t>Documents</t>
  </si>
  <si>
    <t>• Test Plan
• Requirement Analysis
• Requirement Traceability Matrix (RTM)
• Test Scenarios
• Test Cases
• Bug Reports
• Test Summary Report</t>
  </si>
  <si>
    <t>11. Defect Management</t>
  </si>
  <si>
    <t>Severity Levels</t>
  </si>
  <si>
    <t>Critical, Major, Minor, Trivial</t>
  </si>
  <si>
    <t>Priority Levels</t>
  </si>
  <si>
    <t>High, Medium, Low</t>
  </si>
  <si>
    <t>Bug Life Cycle</t>
  </si>
  <si>
    <t>New → Open → Assigned → In Progress → Fixed → Retest → Closed / Reopened</t>
  </si>
  <si>
    <t>Tracking Tool</t>
  </si>
  <si>
    <t>Bug Report sheet (this workbook) – to migrate to Jira/TestRail in later roadmap phase</t>
  </si>
  <si>
    <t>12. Risks &amp; Mitigation</t>
  </si>
  <si>
    <t>Risk: Limited environment access</t>
  </si>
  <si>
    <t>Mitigation: Use shared local environment with seeded test data.</t>
  </si>
  <si>
    <t>Risk: Tight schedule (single SQA engineer)</t>
  </si>
  <si>
    <t>Mitigation: Prioritize High priority modules (Auth, Cart, Checkout, Orders) first.</t>
  </si>
  <si>
    <t>Risk: Frequent requirement changes</t>
  </si>
  <si>
    <t>Mitigation: Keep RTM updated and re-baseline test cases when requirements change.</t>
  </si>
  <si>
    <t>13. Schedule (High Level)</t>
  </si>
  <si>
    <t>Requirement Analysis &amp; Test Design</t>
  </si>
  <si>
    <t>1–2 days</t>
  </si>
  <si>
    <t>Test Case Execution</t>
  </si>
  <si>
    <t>2–3 days</t>
  </si>
  <si>
    <t>Bug Reporting &amp; Retesting</t>
  </si>
  <si>
    <t>1 day</t>
  </si>
  <si>
    <t>Test Summary &amp; Sign-off</t>
  </si>
  <si>
    <t>0.5 day</t>
  </si>
  <si>
    <t>Req ID</t>
  </si>
  <si>
    <t>Module</t>
  </si>
  <si>
    <t>Sub-Module</t>
  </si>
  <si>
    <t>Requirement Description</t>
  </si>
  <si>
    <t>Priority</t>
  </si>
  <si>
    <t>Testing Type</t>
  </si>
  <si>
    <t>Notes</t>
  </si>
  <si>
    <t>REQ-AUTH-01</t>
  </si>
  <si>
    <t>Authentication</t>
  </si>
  <si>
    <t>Login</t>
  </si>
  <si>
    <t>Admin and customer login with valid/invalid credentials</t>
  </si>
  <si>
    <t>High</t>
  </si>
  <si>
    <t>Functional</t>
  </si>
  <si>
    <t>Email + password validation</t>
  </si>
  <si>
    <t>REQ-AUTH-02</t>
  </si>
  <si>
    <t>Logout</t>
  </si>
  <si>
    <t>Session ends correctly after logout</t>
  </si>
  <si>
    <t>Redirect to login page</t>
  </si>
  <si>
    <t>REQ-AUTH-03</t>
  </si>
  <si>
    <t>Registration</t>
  </si>
  <si>
    <t>New customer account creation with required fields</t>
  </si>
  <si>
    <t>Email uniqueness check</t>
  </si>
  <si>
    <t>REQ-AUTH-04</t>
  </si>
  <si>
    <t>Forgot Password</t>
  </si>
  <si>
    <t>Password reset email sent to registered users</t>
  </si>
  <si>
    <t>Medium</t>
  </si>
  <si>
    <t>Token expiry testing</t>
  </si>
  <si>
    <t>REQ-AUTH-05</t>
  </si>
  <si>
    <t>Remember Me</t>
  </si>
  <si>
    <t>User stays logged in after browser close</t>
  </si>
  <si>
    <t>Low</t>
  </si>
  <si>
    <t>Cookie persistence</t>
  </si>
  <si>
    <t>REQ-CATA-01</t>
  </si>
  <si>
    <t>Catalog</t>
  </si>
  <si>
    <t>Product Listing</t>
  </si>
  <si>
    <t>Products displayed with correct details on storefront</t>
  </si>
  <si>
    <t>Name, price, image</t>
  </si>
  <si>
    <t>REQ-CATA-02</t>
  </si>
  <si>
    <t>Product Search</t>
  </si>
  <si>
    <t>Search by keyword returns relevant products</t>
  </si>
  <si>
    <t>Partial match, case-insensitive</t>
  </si>
  <si>
    <t>REQ-CATA-03</t>
  </si>
  <si>
    <t>Product Filter</t>
  </si>
  <si>
    <t>Filtering by category, price, attribute narrows results</t>
  </si>
  <si>
    <t>Multiple filter combos</t>
  </si>
  <si>
    <t>REQ-CATA-04</t>
  </si>
  <si>
    <t>Product Detail</t>
  </si>
  <si>
    <t>Product page shows all attributes, images, price</t>
  </si>
  <si>
    <t>Gallery, variants</t>
  </si>
  <si>
    <t>REQ-CATA-05</t>
  </si>
  <si>
    <t>Product Sorting</t>
  </si>
  <si>
    <t>Sort by price, name, newest works correctly</t>
  </si>
  <si>
    <t>Ascending/descending</t>
  </si>
  <si>
    <t>REQ-CATA-06</t>
  </si>
  <si>
    <t>Product Reviews</t>
  </si>
  <si>
    <t>Customers can submit and view reviews</t>
  </si>
  <si>
    <t>Rating 1-5 stars</t>
  </si>
  <si>
    <t>REQ-CATA-07</t>
  </si>
  <si>
    <t>Category Navigation</t>
  </si>
  <si>
    <t>Breadcrumb trail</t>
  </si>
  <si>
    <t>REQ-CART-01</t>
  </si>
  <si>
    <t>Cart</t>
  </si>
  <si>
    <t>Add to Cart</t>
  </si>
  <si>
    <t>Products added with correct quantity and price</t>
  </si>
  <si>
    <t>Single and multiple items</t>
  </si>
  <si>
    <t>REQ-CART-02</t>
  </si>
  <si>
    <t>Update Quantity</t>
  </si>
  <si>
    <t>Cart quantity updates reflect correct subtotal</t>
  </si>
  <si>
    <t>Min 1, max stock limit</t>
  </si>
  <si>
    <t>REQ-CART-03</t>
  </si>
  <si>
    <t>Remove Item</t>
  </si>
  <si>
    <t>Items removed from cart; cart updates correctly</t>
  </si>
  <si>
    <t>Empty cart state</t>
  </si>
  <si>
    <t>REQ-CART-04</t>
  </si>
  <si>
    <t>Cart Persistence</t>
  </si>
  <si>
    <t>Cart preserved after login for guest users</t>
  </si>
  <si>
    <t>Session merge</t>
  </si>
  <si>
    <t>REQ-CART-05</t>
  </si>
  <si>
    <t>Cart Total</t>
  </si>
  <si>
    <t>Subtotal, tax, shipping calculated correctly</t>
  </si>
  <si>
    <t>Price accuracy</t>
  </si>
  <si>
    <t>REQ-CHEC-01</t>
  </si>
  <si>
    <t>Checkout</t>
  </si>
  <si>
    <t>Guest Checkout</t>
  </si>
  <si>
    <t>Guest users can complete order without account</t>
  </si>
  <si>
    <t>Email capture</t>
  </si>
  <si>
    <t>REQ-CHEC-02</t>
  </si>
  <si>
    <t>Registered Checkout</t>
  </si>
  <si>
    <t>Logged-in user checkout with saved address</t>
  </si>
  <si>
    <t>Address auto-fill</t>
  </si>
  <si>
    <t>REQ-CHEC-03</t>
  </si>
  <si>
    <t>Shipping Address</t>
  </si>
  <si>
    <t>Valid/invalid address fields validated</t>
  </si>
  <si>
    <t>Required fields</t>
  </si>
  <si>
    <t>REQ-CHEC-04</t>
  </si>
  <si>
    <t>Shipping Methods</t>
  </si>
  <si>
    <t>Available shipping methods shown with prices</t>
  </si>
  <si>
    <t>Method selection</t>
  </si>
  <si>
    <t>REQ-CHEC-05</t>
  </si>
  <si>
    <t>Payment Methods</t>
  </si>
  <si>
    <t>Cash on delivery and other methods work</t>
  </si>
  <si>
    <t>Payment gateway</t>
  </si>
  <si>
    <t>REQ-CHEC-06</t>
  </si>
  <si>
    <t>Order Confirmation</t>
  </si>
  <si>
    <t>Order confirmation page and email sent</t>
  </si>
  <si>
    <t>Order ID, summary</t>
  </si>
  <si>
    <t>REQ-ORDE-01</t>
  </si>
  <si>
    <t>Orders</t>
  </si>
  <si>
    <t>Order History</t>
  </si>
  <si>
    <t>Customer can view past orders with status</t>
  </si>
  <si>
    <t>Pagination</t>
  </si>
  <si>
    <t>REQ-ORDE-02</t>
  </si>
  <si>
    <t>Order Detail</t>
  </si>
  <si>
    <t>Order detail page shows all items and tracking</t>
  </si>
  <si>
    <t>Invoice link</t>
  </si>
  <si>
    <t>REQ-ORDE-03</t>
  </si>
  <si>
    <t>Order Cancellation</t>
  </si>
  <si>
    <t>Customer can cancel eligible orders</t>
  </si>
  <si>
    <t>Status-based eligibility</t>
  </si>
  <si>
    <t>REQ-ORDE-04</t>
  </si>
  <si>
    <t>Admin Order Mgmt</t>
  </si>
  <si>
    <t>Admin can view, update, cancel, invoice orders</t>
  </si>
  <si>
    <t>Status workflow</t>
  </si>
  <si>
    <t>REQ-ORDE-05</t>
  </si>
  <si>
    <t>Invoice Generation</t>
  </si>
  <si>
    <t>Admin generates downloadable PDF invoice</t>
  </si>
  <si>
    <t>PDF accuracy</t>
  </si>
  <si>
    <t>REQ-ADMI-01</t>
  </si>
  <si>
    <t>Admin - Catalog</t>
  </si>
  <si>
    <t>Add Product</t>
  </si>
  <si>
    <t>Admin creates simple/configurable/virtual product</t>
  </si>
  <si>
    <t>All product types</t>
  </si>
  <si>
    <t>REQ-ADMI-02</t>
  </si>
  <si>
    <t>Edit Product</t>
  </si>
  <si>
    <t>Admin edits product details; changes reflect on storefront</t>
  </si>
  <si>
    <t>Price, stock, image</t>
  </si>
  <si>
    <t>REQ-ADMI-03</t>
  </si>
  <si>
    <t>Delete Product</t>
  </si>
  <si>
    <t>Admin deletes product; removed from storefront</t>
  </si>
  <si>
    <t>Soft vs hard delete</t>
  </si>
  <si>
    <t>REQ-ADMI-04</t>
  </si>
  <si>
    <t>Product Images</t>
  </si>
  <si>
    <t>Multiple images upload and assign to product</t>
  </si>
  <si>
    <t>File size, format</t>
  </si>
  <si>
    <t>REQ-ADMI-05</t>
  </si>
  <si>
    <t>Category Mgmt</t>
  </si>
  <si>
    <t>Admin creates/edits/deletes categories</t>
  </si>
  <si>
    <t>Hierarchy, parent-child</t>
  </si>
  <si>
    <t>REQ-ADMI-06</t>
  </si>
  <si>
    <t>Attributes</t>
  </si>
  <si>
    <t>Create and assign product attributes/attribute sets</t>
  </si>
  <si>
    <t>Text, select, boolean</t>
  </si>
  <si>
    <t>REQ-USER-01</t>
  </si>
  <si>
    <t>User Management</t>
  </si>
  <si>
    <t>Admin Users</t>
  </si>
  <si>
    <t>Admin creates/edits sub-admin with roles</t>
  </si>
  <si>
    <t>Role-based access</t>
  </si>
  <si>
    <t>REQ-USER-02</t>
  </si>
  <si>
    <t>Customer List</t>
  </si>
  <si>
    <t>Admin views all customers with filters</t>
  </si>
  <si>
    <t>Search, export</t>
  </si>
  <si>
    <t>REQ-USER-03</t>
  </si>
  <si>
    <t>Customer Profile</t>
  </si>
  <si>
    <t>Admin edits customer info</t>
  </si>
  <si>
    <t>Address, email</t>
  </si>
  <si>
    <t>REQ-ADMI-07</t>
  </si>
  <si>
    <t>Admin - Settings</t>
  </si>
  <si>
    <t>General Config</t>
  </si>
  <si>
    <t>Store name, currency, locale configurable</t>
  </si>
  <si>
    <t>Multi-locale</t>
  </si>
  <si>
    <t>REQ-ADMI-08</t>
  </si>
  <si>
    <t>Tax Rules</t>
  </si>
  <si>
    <t>Tax rates applied correctly based on rules</t>
  </si>
  <si>
    <t>Country-based tax</t>
  </si>
  <si>
    <t>REQ-ADMI-09</t>
  </si>
  <si>
    <t>Shipping Config</t>
  </si>
  <si>
    <t>Shipping zones and rates configured</t>
  </si>
  <si>
    <t>Free shipping threshold</t>
  </si>
  <si>
    <t>REQ-ADMI-10</t>
  </si>
  <si>
    <t>Payment Config</t>
  </si>
  <si>
    <t>Payment methods enabled/disabled</t>
  </si>
  <si>
    <t>COD, Stripe</t>
  </si>
  <si>
    <t>REQ-UIUX-01</t>
  </si>
  <si>
    <t>UI/UX</t>
  </si>
  <si>
    <t>Responsive Design</t>
  </si>
  <si>
    <t>Storefront responsive on mobile, tablet, desktop</t>
  </si>
  <si>
    <t>Bootstrap breakpoints</t>
  </si>
  <si>
    <t>REQ-UIUX-02</t>
  </si>
  <si>
    <t>Navigation</t>
  </si>
  <si>
    <t>Menu links navigate to correct pages</t>
  </si>
  <si>
    <t>No broken links</t>
  </si>
  <si>
    <t>REQ-UIUX-03</t>
  </si>
  <si>
    <t>Error Pages</t>
  </si>
  <si>
    <t>404 and 500 pages display correctly</t>
  </si>
  <si>
    <t>Custom error views</t>
  </si>
  <si>
    <t>REQ-PERF-01</t>
  </si>
  <si>
    <t>Performance</t>
  </si>
  <si>
    <t>Page Load</t>
  </si>
  <si>
    <t>Key pages load within acceptable time</t>
  </si>
  <si>
    <t>&lt; 3 seconds</t>
  </si>
  <si>
    <t>REQ-PERF-02</t>
  </si>
  <si>
    <t>Search Speed</t>
  </si>
  <si>
    <t>Product search returns results quickly</t>
  </si>
  <si>
    <t>Large catalog test</t>
  </si>
  <si>
    <t>Test Scenario ID(s)</t>
  </si>
  <si>
    <t>Linked Test Case IDs</t>
  </si>
  <si>
    <t>Coverage Status</t>
  </si>
  <si>
    <t>TS-AUTH-01</t>
  </si>
  <si>
    <t>TC-AUTH-01 to TC-AUTH-05</t>
  </si>
  <si>
    <t>Covered</t>
  </si>
  <si>
    <t>TS-AUTH-02</t>
  </si>
  <si>
    <t>TC-AUTH-08, TC-AUTH-09, TC-AUTH-16</t>
  </si>
  <si>
    <t>TS-AUTH-03</t>
  </si>
  <si>
    <t>TC-AUTH-10 to TC-AUTH-13</t>
  </si>
  <si>
    <t>TS-AUTH-04</t>
  </si>
  <si>
    <t>TC-AUTH-14, TC-AUTH-15</t>
  </si>
  <si>
    <t>Not Covered</t>
  </si>
  <si>
    <t>TS-CAT-01</t>
  </si>
  <si>
    <t>TC-CAT-01, TC-CAT-02</t>
  </si>
  <si>
    <t>TS-CAT-02</t>
  </si>
  <si>
    <t>TC-CAT-03 to TC-CAT-05</t>
  </si>
  <si>
    <t>TS-CAT-03</t>
  </si>
  <si>
    <t>TC-CAT-06 to TC-CAT-09</t>
  </si>
  <si>
    <t>TS-CAT-05</t>
  </si>
  <si>
    <t>TC-CAT-13 to TC-CAT-15</t>
  </si>
  <si>
    <t>TS-CAT-04</t>
  </si>
  <si>
    <t>TC-CAT-10 to TC-CAT-12</t>
  </si>
  <si>
    <t>TS-CAT-06</t>
  </si>
  <si>
    <t>TC-CAT-16, TC-CAT-17, TC-CAT-18</t>
  </si>
  <si>
    <t>TS-CART-01</t>
  </si>
  <si>
    <t>TC-CART-01 to TC-CART-04</t>
  </si>
  <si>
    <t>TS-CART-02</t>
  </si>
  <si>
    <t>TC-CART-05 to TC-CART-07</t>
  </si>
  <si>
    <t>TS-CART-03</t>
  </si>
  <si>
    <t>TC-CART-08, TC-CART-09</t>
  </si>
  <si>
    <t>TS-CART-04</t>
  </si>
  <si>
    <t>TC-CART-10 to TC-CART-12</t>
  </si>
  <si>
    <t>TS-CHK-01</t>
  </si>
  <si>
    <t>TC-CHK-01, TC-CHK-02</t>
  </si>
  <si>
    <t>TS-CHK-02</t>
  </si>
  <si>
    <t>TC-CHK-03</t>
  </si>
  <si>
    <t>TS-CHK-03</t>
  </si>
  <si>
    <t>TC-CHK-04 to TC-CHK-06</t>
  </si>
  <si>
    <t>TS-CHK-04</t>
  </si>
  <si>
    <t>TC-CHK-07, TC-CHK-08</t>
  </si>
  <si>
    <t>TS-CHK-05</t>
  </si>
  <si>
    <t>TC-CHK-09</t>
  </si>
  <si>
    <t>TS-CHK-06</t>
  </si>
  <si>
    <t>TC-CHK-10 to TC-CHK-16</t>
  </si>
  <si>
    <t>TS-ORD-01</t>
  </si>
  <si>
    <t>TC-ORD-01, TC-ORD-02</t>
  </si>
  <si>
    <t>TS-ORD-02</t>
  </si>
  <si>
    <t>TC-ORD-03</t>
  </si>
  <si>
    <t>TS-ORD-03</t>
  </si>
  <si>
    <t>TC-ORD-04, TC-ORD-05</t>
  </si>
  <si>
    <t>TS-ORD-04</t>
  </si>
  <si>
    <t>TC-ORD-06 to TC-ORD-13</t>
  </si>
  <si>
    <t>TS-ORD-05</t>
  </si>
  <si>
    <t>TC-ORD-10, TC-ORD-11</t>
  </si>
  <si>
    <t>TS-ADM-CAT-01</t>
  </si>
  <si>
    <t>TC-ADM-CAT-01 to TC-ADM-CAT-05</t>
  </si>
  <si>
    <t>TS-ADM-CAT-02</t>
  </si>
  <si>
    <t>TC-ADM-CAT-06 to TC-ADM-CAT-08</t>
  </si>
  <si>
    <t>TS-ADM-CAT-03</t>
  </si>
  <si>
    <t>TC-ADM-CAT-09</t>
  </si>
  <si>
    <t>TS-ADM-CAT-04</t>
  </si>
  <si>
    <t>TC-ADM-CAT-10, TC-ADM-CAT-11</t>
  </si>
  <si>
    <t>TS-ADM-CAT-05</t>
  </si>
  <si>
    <t>TC-ADM-CAT-12 to TC-ADM-CAT-15</t>
  </si>
  <si>
    <t>TS-ADM-CAT-06</t>
  </si>
  <si>
    <t>TC-ADM-CAT-16 to TC-ADM-CAT-18</t>
  </si>
  <si>
    <t>TS-USR-01</t>
  </si>
  <si>
    <t>TC-USR-01 to TC-USR-04</t>
  </si>
  <si>
    <t>TS-USR-02</t>
  </si>
  <si>
    <t>TC-USR-05, TC-USR-06, TC-USR-09</t>
  </si>
  <si>
    <t>TS-USR-03</t>
  </si>
  <si>
    <t>TC-USR-07, TC-USR-08, TC-USR-10</t>
  </si>
  <si>
    <t>TS-SET-01</t>
  </si>
  <si>
    <t>TC-SET-01 to TC-SET-03, TC-SET-10, TC-SET-11</t>
  </si>
  <si>
    <t>TS-SET-02</t>
  </si>
  <si>
    <t>TC-SET-04, TC-SET-05</t>
  </si>
  <si>
    <t>TS-SET-03</t>
  </si>
  <si>
    <t>TC-SET-06, TC-SET-07</t>
  </si>
  <si>
    <t>TS-SET-04</t>
  </si>
  <si>
    <t>TC-SET-08, TC-SET-09, TC-SET-12</t>
  </si>
  <si>
    <t>TS-UI-01</t>
  </si>
  <si>
    <t>TC-UI-01 to TC-UI-03, TC-UI-08</t>
  </si>
  <si>
    <t>TS-UI-02</t>
  </si>
  <si>
    <t>TC-UI-04 to TC-UI-07, TC-UI-09, TC-UI-10</t>
  </si>
  <si>
    <t>TS-PERF-01</t>
  </si>
  <si>
    <t>TC-PERF-01 to TC-PERF-07</t>
  </si>
  <si>
    <t>Total Requirements:</t>
  </si>
  <si>
    <t>Covered Requirements:</t>
  </si>
  <si>
    <t>Coverage %:</t>
  </si>
  <si>
    <t>#</t>
  </si>
  <si>
    <t>Description</t>
  </si>
  <si>
    <t>Scenarios</t>
  </si>
  <si>
    <t>Test Cases</t>
  </si>
  <si>
    <t>Login, logout, registration, forgot password</t>
  </si>
  <si>
    <t>Product Catalog</t>
  </si>
  <si>
    <t>Listing, search, filter, sort, detail, reviews</t>
  </si>
  <si>
    <t>Shopping Cart</t>
  </si>
  <si>
    <t>Add, update, remove, persistence, totals</t>
  </si>
  <si>
    <t>Guest, registered, address, shipping, payment, confirm</t>
  </si>
  <si>
    <t>Order Management</t>
  </si>
  <si>
    <t>History, detail, cancel, status, invoice</t>
  </si>
  <si>
    <t>Admin – Catalog</t>
  </si>
  <si>
    <t>Add/edit/delete products, categories, attributes</t>
  </si>
  <si>
    <t>Admin – Orders</t>
  </si>
  <si>
    <t>View, update status, invoice, shipment</t>
  </si>
  <si>
    <t>Admin users, customer list, customer profile</t>
  </si>
  <si>
    <t>Admin – Settings</t>
  </si>
  <si>
    <t>Config, tax, shipping, payment, locale</t>
  </si>
  <si>
    <t>UI/UX &amp; Navigation</t>
  </si>
  <si>
    <t>Responsive, menus, error pages, breadcrumbs</t>
  </si>
  <si>
    <t>Page load, search speed, bulk operations</t>
  </si>
  <si>
    <t>TOTAL</t>
  </si>
  <si>
    <t>TS ID</t>
  </si>
  <si>
    <t>Test Scenario</t>
  </si>
  <si>
    <t>Objective</t>
  </si>
  <si>
    <t>Linked TC IDs</t>
  </si>
  <si>
    <t>◼  AUTHENTICATION</t>
  </si>
  <si>
    <t>Verify login with valid and invalid credentials</t>
  </si>
  <si>
    <t>Ensure authentication accepts correct creds and rejects wrong ones</t>
  </si>
  <si>
    <t>Covers admin &amp; customer</t>
  </si>
  <si>
    <t>Verify session ends correctly on logout</t>
  </si>
  <si>
    <t>User is logged out and cannot access protected pages</t>
  </si>
  <si>
    <t>Verify new customer registration</t>
  </si>
  <si>
    <t>New account created with valid data; duplicates and weak passwords rejected</t>
  </si>
  <si>
    <t>Verify password reset flow</t>
  </si>
  <si>
    <t>Reset email sent for valid emails; error for unknown emails</t>
  </si>
  <si>
    <t>TS-AUTH-05</t>
  </si>
  <si>
    <t>Security</t>
  </si>
  <si>
    <t>Verify login security against injection attacks</t>
  </si>
  <si>
    <t>SQL injection and session hijack attempts are blocked</t>
  </si>
  <si>
    <t>TC-AUTH-05, TC-AUTH-16</t>
  </si>
  <si>
    <t>Security testing</t>
  </si>
  <si>
    <t>◼  PRODUCT CATALOG</t>
  </si>
  <si>
    <t>Verify products display correctly on storefront</t>
  </si>
  <si>
    <t>Products shown with correct name, price, and image</t>
  </si>
  <si>
    <t>Verify search functionality returns correct results</t>
  </si>
  <si>
    <t>Search by keyword returns matching products; no results shown when no match</t>
  </si>
  <si>
    <t>Verify product filtering narrows results correctly</t>
  </si>
  <si>
    <t>Filtering by category and price shows only matching products</t>
  </si>
  <si>
    <t>Product Sort</t>
  </si>
  <si>
    <t>Verify product sorting orders results correctly</t>
  </si>
  <si>
    <t>Sort by price/name/newest reorders product list as expected</t>
  </si>
  <si>
    <t>Verify product detail page shows complete info</t>
  </si>
  <si>
    <t>All product details, images, and stock status shown correctly</t>
  </si>
  <si>
    <t>Verify customers can submit and view reviews</t>
  </si>
  <si>
    <t>Reviews saved and displayed; empty submission blocked</t>
  </si>
  <si>
    <t>◼  SHOPPING CART</t>
  </si>
  <si>
    <t>Verify products can be added to cart</t>
  </si>
  <si>
    <t>In-stock products added; OOS products blocked</t>
  </si>
  <si>
    <t>Verify cart quantity updates work correctly</t>
  </si>
  <si>
    <t>Qty changes recalculate totals; zero qty handled</t>
  </si>
  <si>
    <t>Verify items can be removed from cart</t>
  </si>
  <si>
    <t>Individual and all-item removal works; empty state shown</t>
  </si>
  <si>
    <t>Verify cart totals and tax are calculated correctly</t>
  </si>
  <si>
    <t>Subtotal and tax match expected values based on qty and rules</t>
  </si>
  <si>
    <t>◼  CHECKOUT</t>
  </si>
  <si>
    <t>Verify guest users can complete checkout</t>
  </si>
  <si>
    <t>Guest places order without creating account</t>
  </si>
  <si>
    <t>Verify logged-in users can complete checkout</t>
  </si>
  <si>
    <t>Registered user places order with saved address</t>
  </si>
  <si>
    <t>Verify address validation at checkout</t>
  </si>
  <si>
    <t>Valid address accepted; missing/invalid fields blocked</t>
  </si>
  <si>
    <t>Verify shipping options display and apply correctly</t>
  </si>
  <si>
    <t>Shipping methods shown; free shipping applied above threshold</t>
  </si>
  <si>
    <t>Payment</t>
  </si>
  <si>
    <t>Verify payment methods work at checkout</t>
  </si>
  <si>
    <t>COD and other enabled methods can be selected and order placed</t>
  </si>
  <si>
    <t>Verify order confirmation is shown and emailed</t>
  </si>
  <si>
    <t>Confirmation page and email sent after successful order</t>
  </si>
  <si>
    <t>Coupon testing included</t>
  </si>
  <si>
    <t>◼  ORDER MANAGEMENT</t>
  </si>
  <si>
    <t>Verify customers can view their order history</t>
  </si>
  <si>
    <t>All past orders listed with correct status, date, total</t>
  </si>
  <si>
    <t>Verify order detail shows all correct information</t>
  </si>
  <si>
    <t>Items, quantities, address, invoice shown in order detail</t>
  </si>
  <si>
    <t>Verify eligible orders can be cancelled by customer</t>
  </si>
  <si>
    <t>Pending orders can be cancelled; shipped orders cannot</t>
  </si>
  <si>
    <t>Verify admin can manage and update orders</t>
  </si>
  <si>
    <t>Admin views, filters, updates status, creates shipments</t>
  </si>
  <si>
    <t>Invoice</t>
  </si>
  <si>
    <t>Verify admin can generate and verify invoices</t>
  </si>
  <si>
    <t>PDF invoice generated with correct data for each order</t>
  </si>
  <si>
    <t>◼  ADMIN – CATALOG</t>
  </si>
  <si>
    <t>Verify admin can create all product types</t>
  </si>
  <si>
    <t>Simple and configurable products created with correct data</t>
  </si>
  <si>
    <t>Verify admin edits reflect on storefront</t>
  </si>
  <si>
    <t>Price, name, stock changes saved and visible on storefront</t>
  </si>
  <si>
    <t>Verify product deletion removes from storefront</t>
  </si>
  <si>
    <t>Deleted products no longer appear in storefront catalog</t>
  </si>
  <si>
    <t>Verify product images upload and display correctly</t>
  </si>
  <si>
    <t>Valid images accepted; invalid file types rejected</t>
  </si>
  <si>
    <t>Verify admin can manage product categories</t>
  </si>
  <si>
    <t>Create/edit/delete/nest categories; navigation updates</t>
  </si>
  <si>
    <t>Verify product attributes can be created and assigned</t>
  </si>
  <si>
    <t>Attributes created and visible on product detail page</t>
  </si>
  <si>
    <t>◼  ADMIN – ORDERS</t>
  </si>
  <si>
    <t>TS-ADM-ORD-01</t>
  </si>
  <si>
    <t>Order View</t>
  </si>
  <si>
    <t>Verify admin can view and filter all orders</t>
  </si>
  <si>
    <t>All orders visible; filters by date, status, email work</t>
  </si>
  <si>
    <t>TC-ADM-ORD-01 to TC-ADM-ORD-03</t>
  </si>
  <si>
    <t>TS-ADM-ORD-02</t>
  </si>
  <si>
    <t>Shipment</t>
  </si>
  <si>
    <t>Verify admin can create shipments with tracking</t>
  </si>
  <si>
    <t>Shipments created; tracking number saved and visible</t>
  </si>
  <si>
    <t>TC-ADM-ORD-04</t>
  </si>
  <si>
    <t>TS-ADM-ORD-03</t>
  </si>
  <si>
    <t>Invoice/Refund</t>
  </si>
  <si>
    <t>Verify admin can invoice and refund orders</t>
  </si>
  <si>
    <t>Invoice amounts match; credit memo records refund</t>
  </si>
  <si>
    <t>TC-ADM-ORD-05, TC-ADM-ORD-07</t>
  </si>
  <si>
    <t>TS-ADM-ORD-04</t>
  </si>
  <si>
    <t>Bulk Actions</t>
  </si>
  <si>
    <t>Verify bulk order operations work correctly</t>
  </si>
  <si>
    <t>Bulk status update applies to all selected orders</t>
  </si>
  <si>
    <t>TC-ADM-ORD-06, TC-ADM-ORD-08, TC-ADM-ORD-09</t>
  </si>
  <si>
    <t>◼  USER MANAGEMENT</t>
  </si>
  <si>
    <t>Verify admin can create and manage sub-admins</t>
  </si>
  <si>
    <t>Sub-admins created, edited, deleted; RBAC enforced</t>
  </si>
  <si>
    <t>Verify admin can view and filter customers</t>
  </si>
  <si>
    <t>Customer list shown; filter by email works; export works</t>
  </si>
  <si>
    <t>Verify admin can edit and manage customer profiles</t>
  </si>
  <si>
    <t>Email updated; orders visible; inactive status blocks login</t>
  </si>
  <si>
    <t>◼  ADMIN – SETTINGS</t>
  </si>
  <si>
    <t>Verify store general settings can be configured</t>
  </si>
  <si>
    <t>Store name, currency, timezone, locale change correctly</t>
  </si>
  <si>
    <t>Verify tax rates are configured and applied</t>
  </si>
  <si>
    <t>Tax rates created; correct tax applied at checkout</t>
  </si>
  <si>
    <t>Verify shipping methods are configured correctly</t>
  </si>
  <si>
    <t>Flat rate and free shipping configured; shown at checkout</t>
  </si>
  <si>
    <t>Verify payment methods can be enabled/disabled</t>
  </si>
  <si>
    <t>Enabled methods appear at checkout; disabled do not</t>
  </si>
  <si>
    <t>◼  UI/UX</t>
  </si>
  <si>
    <t>Responsive</t>
  </si>
  <si>
    <t>Verify storefront is responsive across all screen sizes</t>
  </si>
  <si>
    <t>No layout breakage on mobile, tablet, desktop</t>
  </si>
  <si>
    <t>Verify all navigation links and UI elements work</t>
  </si>
  <si>
    <t>Menu links, footer, breadcrumbs, toasts all function correctly</t>
  </si>
  <si>
    <t>◼  PERFORMANCE</t>
  </si>
  <si>
    <t>Verify key pages load within acceptable time</t>
  </si>
  <si>
    <t>Homepage, catalog, checkout, admin load within 3–5 seconds</t>
  </si>
  <si>
    <t>Local environment</t>
  </si>
  <si>
    <t>TC ID</t>
  </si>
  <si>
    <t>Test Case Description</t>
  </si>
  <si>
    <t>Pre-Conditions</t>
  </si>
  <si>
    <t>Test Steps</t>
  </si>
  <si>
    <t>Test Data</t>
  </si>
  <si>
    <t>Expected Result</t>
  </si>
  <si>
    <t>Actual Result</t>
  </si>
  <si>
    <t>Test Type</t>
  </si>
  <si>
    <t>Bug ID / Notes</t>
  </si>
  <si>
    <t>TC-AUTH-01</t>
  </si>
  <si>
    <t>Valid admin login</t>
  </si>
  <si>
    <t>Admin logs in with correct creds</t>
  </si>
  <si>
    <t>App running, admin account exists</t>
  </si>
  <si>
    <t>1. Go to /admin
2. Enter email
3. Enter password
4. Click Login</t>
  </si>
  <si>
    <t>Email: admin@example.com
Pass: admin123</t>
  </si>
  <si>
    <t>Admin dashboard displayed</t>
  </si>
  <si>
    <t>Pending</t>
  </si>
  <si>
    <t>TC-AUTH-02</t>
  </si>
  <si>
    <t>Invalid admin email</t>
  </si>
  <si>
    <t>Login fails with wrong email</t>
  </si>
  <si>
    <t>App running</t>
  </si>
  <si>
    <t>1. Go to /admin
2. Enter wrong email
3. Enter correct password
4. Click Login</t>
  </si>
  <si>
    <t>Email: wrong@test.com
Pass: admin123</t>
  </si>
  <si>
    <t>Error message shown; no login</t>
  </si>
  <si>
    <t>TC-AUTH-03</t>
  </si>
  <si>
    <t>Invalid admin pass</t>
  </si>
  <si>
    <t>Login fails with wrong password</t>
  </si>
  <si>
    <t>1. Go to /admin
2. Enter correct email
3. Enter wrong password
4. Click Login</t>
  </si>
  <si>
    <t>Email: admin@example.com
Pass: wrongpass</t>
  </si>
  <si>
    <t>Error message; no login</t>
  </si>
  <si>
    <t>TC-AUTH-04</t>
  </si>
  <si>
    <t>Empty fields</t>
  </si>
  <si>
    <t>Login fails with empty fields</t>
  </si>
  <si>
    <t>1. Go to /admin
2. Leave fields empty
3. Click Login</t>
  </si>
  <si>
    <t>Validation messages for required fields</t>
  </si>
  <si>
    <t>TC-AUTH-05</t>
  </si>
  <si>
    <t>SQL injection login</t>
  </si>
  <si>
    <t>System rejects SQL injection attempt</t>
  </si>
  <si>
    <t>1. Go to /admin
2. Enter ' OR 1=1 -- in email
3. Click Login</t>
  </si>
  <si>
    <t>Email: ' OR 1=1 --</t>
  </si>
  <si>
    <t>Login fails; no DB exposure</t>
  </si>
  <si>
    <t>TC-AUTH-06</t>
  </si>
  <si>
    <t>Customer valid login</t>
  </si>
  <si>
    <t>Customer logs in with correct creds</t>
  </si>
  <si>
    <t>Customer account exists</t>
  </si>
  <si>
    <t>1. Go to storefront
2. Click Login
3. Enter email &amp; pass
4. Submit</t>
  </si>
  <si>
    <t>Email: ahnattanha562@gmail.com
Pass: 12345678</t>
  </si>
  <si>
    <t>Customer account page shown</t>
  </si>
  <si>
    <t>TC-AUTH-07</t>
  </si>
  <si>
    <t>Customer invalid pass</t>
  </si>
  <si>
    <t>Customer login fails with wrong pass</t>
  </si>
  <si>
    <t>1. Go to login
2. Enter valid email, wrong pass
3. Submit</t>
  </si>
  <si>
    <t>Email: ahnattanha562@gmail.com
Pass: wrong</t>
  </si>
  <si>
    <t>Error: These credentials do not match</t>
  </si>
  <si>
    <t>TC-AUTH-08</t>
  </si>
  <si>
    <t>Admin logout</t>
  </si>
  <si>
    <t>Admin session ends on logout</t>
  </si>
  <si>
    <t>Admin logged in</t>
  </si>
  <si>
    <t>1. Click account icon in admin
2. Click Logout</t>
  </si>
  <si>
    <t>Redirected to /admin/login</t>
  </si>
  <si>
    <t>TC-AUTH-09</t>
  </si>
  <si>
    <t>Customer logout</t>
  </si>
  <si>
    <t>Customer session ends on logout</t>
  </si>
  <si>
    <t>Customer logged in</t>
  </si>
  <si>
    <t>1. Click account in header
2. Click Logout</t>
  </si>
  <si>
    <t>Redirected to home/login page</t>
  </si>
  <si>
    <t>TC-AUTH-10</t>
  </si>
  <si>
    <t>Valid registration</t>
  </si>
  <si>
    <t>New customer registers successfully</t>
  </si>
  <si>
    <t>No prior account</t>
  </si>
  <si>
    <t>1. Go to Register
2. Fill all fields
3. Submit</t>
  </si>
  <si>
    <t>Name: Test User
Email: newuser@test.com
Pass: Test@1234</t>
  </si>
  <si>
    <t>Account created; redirect to profile</t>
  </si>
  <si>
    <t>TC-AUTH-11</t>
  </si>
  <si>
    <t>Duplicate email</t>
  </si>
  <si>
    <t>Registration fails for existing email</t>
  </si>
  <si>
    <t>Existing customer email</t>
  </si>
  <si>
    <t>1. Go to Register
2. Enter existing email
3. Submit</t>
  </si>
  <si>
    <t>Email: ahnattanha562@gmail.com</t>
  </si>
  <si>
    <t>Error: email already taken</t>
  </si>
  <si>
    <t>TC-AUTH-12</t>
  </si>
  <si>
    <t>Weak password</t>
  </si>
  <si>
    <t>Registration fails for short password</t>
  </si>
  <si>
    <t>1. Go to Register
2. Enter password &lt; 6 chars
3. Submit</t>
  </si>
  <si>
    <t>Pass: 123</t>
  </si>
  <si>
    <t>Validation error shown</t>
  </si>
  <si>
    <t>TC-AUTH-13</t>
  </si>
  <si>
    <t>Missing required fields</t>
  </si>
  <si>
    <t>Registration fails with empty fields</t>
  </si>
  <si>
    <t>1. Go to Register
2. Leave required fields blank
3. Submit</t>
  </si>
  <si>
    <t>Field-level validation errors shown</t>
  </si>
  <si>
    <t>TC-AUTH-14</t>
  </si>
  <si>
    <t>Forgot Pass</t>
  </si>
  <si>
    <t>Valid email reset</t>
  </si>
  <si>
    <t>Reset email sent for valid email</t>
  </si>
  <si>
    <t>Registered account</t>
  </si>
  <si>
    <t>1. Go to Forgot Password
2. Enter registered email
3. Submit</t>
  </si>
  <si>
    <t>Success message; email sent</t>
  </si>
  <si>
    <t>TC-AUTH-15</t>
  </si>
  <si>
    <t>Invalid email reset</t>
  </si>
  <si>
    <t>No email sent for unknown email</t>
  </si>
  <si>
    <t>1. Go to Forgot Password
2. Enter unknown email
3. Submit</t>
  </si>
  <si>
    <t>Email: fake@notexist.com</t>
  </si>
  <si>
    <t>Error or generic message shown</t>
  </si>
  <si>
    <t>TC-AUTH-16</t>
  </si>
  <si>
    <t>Back button after logout</t>
  </si>
  <si>
    <t>Cannot access dashboard after logout</t>
  </si>
  <si>
    <t>Logged out</t>
  </si>
  <si>
    <t>1. Logout
2. Click browser back button</t>
  </si>
  <si>
    <t>Redirected to login; session expired</t>
  </si>
  <si>
    <t>TC-CAT-01</t>
  </si>
  <si>
    <t>Products display on home</t>
  </si>
  <si>
    <t>Homepage shows products correctly</t>
  </si>
  <si>
    <t>App running, products exist</t>
  </si>
  <si>
    <t>1. Open storefront URL
2. Observe product grid</t>
  </si>
  <si>
    <t>Products displayed with name, price, image</t>
  </si>
  <si>
    <t>TC-CAT-02</t>
  </si>
  <si>
    <t>Pagination works</t>
  </si>
  <si>
    <t>Pagination navigates through pages</t>
  </si>
  <si>
    <t>Multiple products exist</t>
  </si>
  <si>
    <t>1. View product listing
2. Click page 2
3. Observe products</t>
  </si>
  <si>
    <t>Next set of products shown</t>
  </si>
  <si>
    <t>TC-CAT-03</t>
  </si>
  <si>
    <t>Search valid keyword</t>
  </si>
  <si>
    <t>Search returns matching products</t>
  </si>
  <si>
    <t>Products in DB</t>
  </si>
  <si>
    <t>1. Enter product name in search
2. Press Enter</t>
  </si>
  <si>
    <t>Keyword: shirt</t>
  </si>
  <si>
    <t>Products matching 'shirt' listed</t>
  </si>
  <si>
    <t>TC-CAT-04</t>
  </si>
  <si>
    <t>Search no results</t>
  </si>
  <si>
    <t>No results page for unknown keyword</t>
  </si>
  <si>
    <t>1. Search for non-existent product</t>
  </si>
  <si>
    <t>Keyword: xyzabc123</t>
  </si>
  <si>
    <t>'No products found' message shown</t>
  </si>
  <si>
    <t>TC-CAT-05</t>
  </si>
  <si>
    <t>Case insensitive search</t>
  </si>
  <si>
    <t>Search works regardless of case</t>
  </si>
  <si>
    <t>Products exist</t>
  </si>
  <si>
    <t>1. Search 'SHIRT'
2. Search 'shirt'
3. Compare results</t>
  </si>
  <si>
    <t>Keyword: SHIRT / shirt</t>
  </si>
  <si>
    <t>Same results returned</t>
  </si>
  <si>
    <t>TC-CAT-06</t>
  </si>
  <si>
    <t>Filter by category</t>
  </si>
  <si>
    <t>Filtering shows correct category products</t>
  </si>
  <si>
    <t>Categories with products</t>
  </si>
  <si>
    <t>1. Select category from sidebar
2. Observe results</t>
  </si>
  <si>
    <t>Category: Clothing</t>
  </si>
  <si>
    <t>Only products in 'Clothing' shown</t>
  </si>
  <si>
    <t>TC-CAT-07</t>
  </si>
  <si>
    <t>Filter by price range</t>
  </si>
  <si>
    <t>Price filter limits shown products</t>
  </si>
  <si>
    <t>Multiple price range products</t>
  </si>
  <si>
    <t>1. Set price min/max slider
2. Apply filter</t>
  </si>
  <si>
    <t>Min: 10, Max: 50</t>
  </si>
  <si>
    <t>Products only in $10–$50 shown</t>
  </si>
  <si>
    <t>TC-CAT-08</t>
  </si>
  <si>
    <t>Multiple filters combined</t>
  </si>
  <si>
    <t>Combined filters narrow results</t>
  </si>
  <si>
    <t>1. Select category + price range
2. Observe results</t>
  </si>
  <si>
    <t>Category: Clothing, Price: 10–50</t>
  </si>
  <si>
    <t>Intersection of both filters</t>
  </si>
  <si>
    <t>TC-CAT-09</t>
  </si>
  <si>
    <t>Clear filter</t>
  </si>
  <si>
    <t>Clearing filter resets product list</t>
  </si>
  <si>
    <t>Filter applied</t>
  </si>
  <si>
    <t>1. Apply filter
2. Click Clear/Reset</t>
  </si>
  <si>
    <t>All products shown again</t>
  </si>
  <si>
    <t>TC-CAT-10</t>
  </si>
  <si>
    <t>Sort by price low-high</t>
  </si>
  <si>
    <t>Products sorted ascending by price</t>
  </si>
  <si>
    <t>Products with different prices</t>
  </si>
  <si>
    <t>1. Select Sort: Price Low to High</t>
  </si>
  <si>
    <t>Products ordered cheapest first</t>
  </si>
  <si>
    <t>TC-CAT-11</t>
  </si>
  <si>
    <t>Sort by price high-low</t>
  </si>
  <si>
    <t>Products sorted descending by price</t>
  </si>
  <si>
    <t>1. Select Sort: Price High to Low</t>
  </si>
  <si>
    <t>Products ordered most expensive first</t>
  </si>
  <si>
    <t>TC-CAT-12</t>
  </si>
  <si>
    <t>Sort by newest</t>
  </si>
  <si>
    <t>Newest products appear first</t>
  </si>
  <si>
    <t>Products with different dates</t>
  </si>
  <si>
    <t>1. Select Sort: Newest</t>
  </si>
  <si>
    <t>Most recently added product first</t>
  </si>
  <si>
    <t>TC-CAT-13</t>
  </si>
  <si>
    <t>Product page loads</t>
  </si>
  <si>
    <t>Product detail page shows all info</t>
  </si>
  <si>
    <t>Product exists</t>
  </si>
  <si>
    <t>1. Click on any product</t>
  </si>
  <si>
    <t>Name, price, description, images shown</t>
  </si>
  <si>
    <t>TC-CAT-14</t>
  </si>
  <si>
    <t>Image gallery</t>
  </si>
  <si>
    <t>Multiple images viewable in gallery</t>
  </si>
  <si>
    <t>Product with multiple images</t>
  </si>
  <si>
    <t>1. Open product detail
2. Click on thumbnail images</t>
  </si>
  <si>
    <t>Main image changes on click</t>
  </si>
  <si>
    <t>TC-CAT-15</t>
  </si>
  <si>
    <t>Out of stock display</t>
  </si>
  <si>
    <t>Out-of-stock product shows correct label</t>
  </si>
  <si>
    <t>Out-of-stock product</t>
  </si>
  <si>
    <t>1. Open out-of-stock product page</t>
  </si>
  <si>
    <t>'Out of Stock' shown; Add to Cart disabled</t>
  </si>
  <si>
    <t>TC-CAT-16</t>
  </si>
  <si>
    <t>Submit review</t>
  </si>
  <si>
    <t>Customer submits product review</t>
  </si>
  <si>
    <t>Customer logged in, product exists</t>
  </si>
  <si>
    <t>1. Go to product page
2. Fill review form
3. Submit</t>
  </si>
  <si>
    <t>Rating: 4, Text: Good quality</t>
  </si>
  <si>
    <t>Review saved and displayed</t>
  </si>
  <si>
    <t>TC-CAT-17</t>
  </si>
  <si>
    <t>Empty review blocked</t>
  </si>
  <si>
    <t>Review fails without rating or text</t>
  </si>
  <si>
    <t>1. Go to product page
2. Leave review form empty
3. Submit</t>
  </si>
  <si>
    <t>TC-CAT-18</t>
  </si>
  <si>
    <t>Category Nav</t>
  </si>
  <si>
    <t>Category breadcrumb</t>
  </si>
  <si>
    <t>Breadcrumb reflects correct navigation path</t>
  </si>
  <si>
    <t>Category hierarchy exists</t>
  </si>
  <si>
    <t>1. Navigate to sub-category
2. Observe breadcrumb</t>
  </si>
  <si>
    <t>Correct path shown in breadcrumb</t>
  </si>
  <si>
    <t>TC-CART-01</t>
  </si>
  <si>
    <t>Add single product</t>
  </si>
  <si>
    <t>Product added to cart successfully</t>
  </si>
  <si>
    <t>Product available in stock</t>
  </si>
  <si>
    <t>1. Go to product page
2. Click Add to Cart</t>
  </si>
  <si>
    <t>Product: any in-stock item</t>
  </si>
  <si>
    <t>Cart icon shows 1 item; success toast</t>
  </si>
  <si>
    <t>TC-CART-02</t>
  </si>
  <si>
    <t>Add multiple products</t>
  </si>
  <si>
    <t>Multiple different products added</t>
  </si>
  <si>
    <t>Multiple in-stock products</t>
  </si>
  <si>
    <t>1. Add product A
2. Add product B
3. View cart</t>
  </si>
  <si>
    <t>Product A &amp; B</t>
  </si>
  <si>
    <t>Cart shows 2 distinct items</t>
  </si>
  <si>
    <t>TC-CART-03</t>
  </si>
  <si>
    <t>Add same product twice</t>
  </si>
  <si>
    <t>Quantity increases for duplicate add</t>
  </si>
  <si>
    <t>Product in stock</t>
  </si>
  <si>
    <t>1. Add same product twice</t>
  </si>
  <si>
    <t>Qty: 1 each time</t>
  </si>
  <si>
    <t>Cart shows qty 2 for that product</t>
  </si>
  <si>
    <t>TC-CART-04</t>
  </si>
  <si>
    <t>Add out-of-stock product</t>
  </si>
  <si>
    <t>Cannot add out-of-stock product</t>
  </si>
  <si>
    <t>Out-of-stock product exists</t>
  </si>
  <si>
    <t>1. Try to add OOS product to cart</t>
  </si>
  <si>
    <t>Add to Cart disabled or error shown</t>
  </si>
  <si>
    <t>TC-CART-05</t>
  </si>
  <si>
    <t>Increase quantity</t>
  </si>
  <si>
    <t>Cart total updates when qty increased</t>
  </si>
  <si>
    <t>Item in cart</t>
  </si>
  <si>
    <t>1. View cart
2. Increase qty to 3
3. Update</t>
  </si>
  <si>
    <t>Qty: 3</t>
  </si>
  <si>
    <t>Subtotal recalculated correctly</t>
  </si>
  <si>
    <t>TC-CART-06</t>
  </si>
  <si>
    <t>Decrease quantity</t>
  </si>
  <si>
    <t>Cart total updates when qty decreased</t>
  </si>
  <si>
    <t>Item with qty &gt; 1 in cart</t>
  </si>
  <si>
    <t>1. View cart
2. Decrease qty to 1
3. Update</t>
  </si>
  <si>
    <t>Qty: 1</t>
  </si>
  <si>
    <t>TC-CART-07</t>
  </si>
  <si>
    <t>Set quantity to zero</t>
  </si>
  <si>
    <t>Cart item removed or error when qty = 0</t>
  </si>
  <si>
    <t>1. View cart
2. Set qty to 0
3. Update</t>
  </si>
  <si>
    <t>Qty: 0</t>
  </si>
  <si>
    <t>Item removed or validation error</t>
  </si>
  <si>
    <t>TC-CART-08</t>
  </si>
  <si>
    <t>Remove one item</t>
  </si>
  <si>
    <t>Item removed from cart</t>
  </si>
  <si>
    <t>1. View cart
2. Click Remove on item</t>
  </si>
  <si>
    <t>Item no longer in cart; total updated</t>
  </si>
  <si>
    <t>TC-CART-09</t>
  </si>
  <si>
    <t>Remove all items</t>
  </si>
  <si>
    <t>Cart becomes empty</t>
  </si>
  <si>
    <t>Items in cart</t>
  </si>
  <si>
    <t>1. Remove all items one by one</t>
  </si>
  <si>
    <t>Cart shows empty state message</t>
  </si>
  <si>
    <t>TC-CART-10</t>
  </si>
  <si>
    <t>Subtotal calculation</t>
  </si>
  <si>
    <t>Subtotal = price × quantity</t>
  </si>
  <si>
    <t>1. Check product price
2. Set qty
3. View cart total</t>
  </si>
  <si>
    <t>Price: $20, Qty: 3</t>
  </si>
  <si>
    <t>Subtotal = $60.00</t>
  </si>
  <si>
    <t>TC-CART-11</t>
  </si>
  <si>
    <t>Tax applied correctly</t>
  </si>
  <si>
    <t>Tax amount shown in cart/checkout</t>
  </si>
  <si>
    <t>Tax rule configured</t>
  </si>
  <si>
    <t>1. Add item to cart
2. Proceed to checkout
3. Check tax line</t>
  </si>
  <si>
    <t>Taxable item</t>
  </si>
  <si>
    <t>Tax calculated per configured rate</t>
  </si>
  <si>
    <t>TC-CART-12</t>
  </si>
  <si>
    <t>Cart saved on login</t>
  </si>
  <si>
    <t>Guest cart items retained after login</t>
  </si>
  <si>
    <t>Guest cart with items</t>
  </si>
  <si>
    <t>1. Add item as guest
2. Login
3. View cart</t>
  </si>
  <si>
    <t>Previously added items still in cart</t>
  </si>
  <si>
    <t>TC-CHK-01</t>
  </si>
  <si>
    <t>Guest can checkout</t>
  </si>
  <si>
    <t>Guest completes order without login</t>
  </si>
  <si>
    <t>1. Add item
2. Proceed to checkout
3. Enter guest email &amp; address
4. Select shipping
5. Place order</t>
  </si>
  <si>
    <t>Email: guest@test.com, valid address</t>
  </si>
  <si>
    <t>Order placed; confirmation shown</t>
  </si>
  <si>
    <t>TC-CHK-02</t>
  </si>
  <si>
    <t>Guest checkout email captured</t>
  </si>
  <si>
    <t>Guest email saved with order</t>
  </si>
  <si>
    <t>Guest checkout flow</t>
  </si>
  <si>
    <t>1. Complete guest checkout
2. Check admin orders</t>
  </si>
  <si>
    <t>Email: guest@test.com</t>
  </si>
  <si>
    <t>Email shown in admin order detail</t>
  </si>
  <si>
    <t>Logged-in user checkout</t>
  </si>
  <si>
    <t>Registered user completes order</t>
  </si>
  <si>
    <t>Customer logged in, cart with items</t>
  </si>
  <si>
    <t>1. Add item
2. Proceed to checkout
3. Select saved address
4. Place order</t>
  </si>
  <si>
    <t>Saved address</t>
  </si>
  <si>
    <t>Order placed; confirmation page shown</t>
  </si>
  <si>
    <t>TC-CHK-04</t>
  </si>
  <si>
    <t>Valid address accepted</t>
  </si>
  <si>
    <t>Checkout proceeds with valid address</t>
  </si>
  <si>
    <t>Checkout page</t>
  </si>
  <si>
    <t>1. Enter full valid address
2. Continue</t>
  </si>
  <si>
    <t>Name, Street, City, ZIP, Country</t>
  </si>
  <si>
    <t>Address accepted; move to shipping step</t>
  </si>
  <si>
    <t>TC-CHK-05</t>
  </si>
  <si>
    <t>Missing required address field</t>
  </si>
  <si>
    <t>Checkout blocked when address incomplete</t>
  </si>
  <si>
    <t>1. Leave City field empty
2. Click Continue</t>
  </si>
  <si>
    <t>Missing: City</t>
  </si>
  <si>
    <t>Validation error on City field</t>
  </si>
  <si>
    <t>TC-CHK-06</t>
  </si>
  <si>
    <t>Invalid ZIP code</t>
  </si>
  <si>
    <t>Checkout shows error for invalid ZIP</t>
  </si>
  <si>
    <t>1. Enter invalid ZIP
2. Continue</t>
  </si>
  <si>
    <t>ZIP: ABCDE</t>
  </si>
  <si>
    <t>Validation error or warning shown</t>
  </si>
  <si>
    <t>TC-CHK-07</t>
  </si>
  <si>
    <t>Shipping options displayed</t>
  </si>
  <si>
    <t>Available shipping methods shown</t>
  </si>
  <si>
    <t>Shipping configured</t>
  </si>
  <si>
    <t>1. Reach shipping step in checkout</t>
  </si>
  <si>
    <t>At least one shipping method listed with price</t>
  </si>
  <si>
    <t>TC-CHK-08</t>
  </si>
  <si>
    <t>Free shipping applied above threshold</t>
  </si>
  <si>
    <t>Free shipping configured e.g. &gt; $100</t>
  </si>
  <si>
    <t>1. Add items totaling &gt; $100
2. Reach shipping step</t>
  </si>
  <si>
    <t>Cart total &gt; $100</t>
  </si>
  <si>
    <t>Free Shipping option shown ($0.00)</t>
  </si>
  <si>
    <t>Cash on delivery</t>
  </si>
  <si>
    <t>COD payment option available and selectable</t>
  </si>
  <si>
    <t>COD enabled in settings</t>
  </si>
  <si>
    <t>1. Reach payment step
2. Select COD
3. Place order</t>
  </si>
  <si>
    <t>Payment: COD</t>
  </si>
  <si>
    <t>Order placed; COD shown in confirmation</t>
  </si>
  <si>
    <t>TC-CHK-10</t>
  </si>
  <si>
    <t>Confirmation page shown</t>
  </si>
  <si>
    <t>Order confirmation page loads after order</t>
  </si>
  <si>
    <t>Completed checkout</t>
  </si>
  <si>
    <t>1. Place order successfully</t>
  </si>
  <si>
    <t>Confirmation page with order ID shown</t>
  </si>
  <si>
    <t>TC-CHK-11</t>
  </si>
  <si>
    <t>Confirmation email sent</t>
  </si>
  <si>
    <t>Customer receives order email</t>
  </si>
  <si>
    <t>Completed checkout, mail configured</t>
  </si>
  <si>
    <t>1. Place order
2. Check inbox</t>
  </si>
  <si>
    <t>Customer email</t>
  </si>
  <si>
    <t>Confirmation email with order summary received</t>
  </si>
  <si>
    <t>TC-CHK-12</t>
  </si>
  <si>
    <t>Empty cart checkout blocked</t>
  </si>
  <si>
    <t>Cannot proceed to checkout with empty cart</t>
  </si>
  <si>
    <t>No items in cart</t>
  </si>
  <si>
    <t>1. Go to checkout URL directly</t>
  </si>
  <si>
    <t>Redirected to cart or error shown</t>
  </si>
  <si>
    <t>TC-CHK-13</t>
  </si>
  <si>
    <t>Coupon code valid</t>
  </si>
  <si>
    <t>Discount applied with valid coupon</t>
  </si>
  <si>
    <t>Coupon created in admin</t>
  </si>
  <si>
    <t>1. Add item
2. At checkout enter coupon
3. Apply</t>
  </si>
  <si>
    <t>Coupon: TEST10</t>
  </si>
  <si>
    <t>Discount reflected in order total</t>
  </si>
  <si>
    <t>TC-CHK-14</t>
  </si>
  <si>
    <t>Coupon code invalid</t>
  </si>
  <si>
    <t>Error shown for invalid coupon</t>
  </si>
  <si>
    <t>1. Enter invalid coupon
2. Apply</t>
  </si>
  <si>
    <t>Coupon: FAKE99</t>
  </si>
  <si>
    <t>Error: Coupon not found/expired</t>
  </si>
  <si>
    <t>TC-CHK-15</t>
  </si>
  <si>
    <t>Multiple shipping addresses</t>
  </si>
  <si>
    <t>User selects from multiple saved addresses</t>
  </si>
  <si>
    <t>Registered user with 2+ addresses</t>
  </si>
  <si>
    <t>1. Reach address step
2. Select non-default address</t>
  </si>
  <si>
    <t>Address 2</t>
  </si>
  <si>
    <t>Selected address used in order</t>
  </si>
  <si>
    <t>TC-CHK-16</t>
  </si>
  <si>
    <t>Order total matches cart</t>
  </si>
  <si>
    <t>Checkout total equals cart summary</t>
  </si>
  <si>
    <t>Cart with items</t>
  </si>
  <si>
    <t>1. Note cart total
2. Proceed to checkout
3. Compare totals</t>
  </si>
  <si>
    <t>Checkout total = Cart total (same items, same price)</t>
  </si>
  <si>
    <t>TC-ORD-01</t>
  </si>
  <si>
    <t>Customer views order history</t>
  </si>
  <si>
    <t>All placed orders listed in account</t>
  </si>
  <si>
    <t>Customer has placed orders</t>
  </si>
  <si>
    <t>1. Login
2. Go to My Account &gt; Orders</t>
  </si>
  <si>
    <t>All orders listed with ID, date, status, total</t>
  </si>
  <si>
    <t>TC-ORD-02</t>
  </si>
  <si>
    <t>Order history pagination</t>
  </si>
  <si>
    <t>Pagination works in order list</t>
  </si>
  <si>
    <t>Customer with many orders</t>
  </si>
  <si>
    <t>1. View Orders page
2. Navigate pages</t>
  </si>
  <si>
    <t>Correct orders per page</t>
  </si>
  <si>
    <t>Customer views order detail</t>
  </si>
  <si>
    <t>Order detail shows correct items</t>
  </si>
  <si>
    <t>Order exists</t>
  </si>
  <si>
    <t>1. Click order in history
2. View detail</t>
  </si>
  <si>
    <t>Items, quantities, prices, address shown</t>
  </si>
  <si>
    <t>TC-ORD-04</t>
  </si>
  <si>
    <t>Cancel pending order</t>
  </si>
  <si>
    <t>Customer cancels pending order</t>
  </si>
  <si>
    <t>Order in Pending status</t>
  </si>
  <si>
    <t>1. Open order detail
2. Click Cancel Order
3. Confirm</t>
  </si>
  <si>
    <t>Order status changes to Cancelled</t>
  </si>
  <si>
    <t>TC-ORD-05</t>
  </si>
  <si>
    <t>Cannot cancel shipped order</t>
  </si>
  <si>
    <t>Cancel not available for shipped orders</t>
  </si>
  <si>
    <t>Order in Shipped status</t>
  </si>
  <si>
    <t>1. Open shipped order
2. Observe Cancel option</t>
  </si>
  <si>
    <t>Cancel button absent or disabled</t>
  </si>
  <si>
    <t>TC-ORD-06</t>
  </si>
  <si>
    <t>Admin views all orders</t>
  </si>
  <si>
    <t>Admin sees all customer orders</t>
  </si>
  <si>
    <t>1. Go to Admin &gt; Sales &gt; Orders</t>
  </si>
  <si>
    <t>All orders listed in admin panel</t>
  </si>
  <si>
    <t>TC-ORD-07</t>
  </si>
  <si>
    <t>Admin filters orders by status</t>
  </si>
  <si>
    <t>Filter shows only matching status orders</t>
  </si>
  <si>
    <t>Admin panel</t>
  </si>
  <si>
    <t>1. Apply status filter: Pending</t>
  </si>
  <si>
    <t>Status: Pending</t>
  </si>
  <si>
    <t>Only pending orders shown</t>
  </si>
  <si>
    <t>TC-ORD-08</t>
  </si>
  <si>
    <t>Admin updates order status</t>
  </si>
  <si>
    <t>Admin changes order status</t>
  </si>
  <si>
    <t>1. Open admin order
2. Change status to Processing
3. Save</t>
  </si>
  <si>
    <t>Status: Processing</t>
  </si>
  <si>
    <t>Order status updated; customer notified</t>
  </si>
  <si>
    <t>TC-ORD-09</t>
  </si>
  <si>
    <t>Admin creates shipment</t>
  </si>
  <si>
    <t>Shipment created for order</t>
  </si>
  <si>
    <t>Order in Processing</t>
  </si>
  <si>
    <t>1. Open admin order
2. Click Ship
3. Confirm</t>
  </si>
  <si>
    <t>Shipment created; status updates to Shipped</t>
  </si>
  <si>
    <t>TC-ORD-10</t>
  </si>
  <si>
    <t>Admin generates invoice</t>
  </si>
  <si>
    <t>PDF invoice generated for order</t>
  </si>
  <si>
    <t>Order exists in admin</t>
  </si>
  <si>
    <t>1. Open admin order
2. Click Invoice
3. Generate</t>
  </si>
  <si>
    <t>Invoice PDF generated and downloadable</t>
  </si>
  <si>
    <t>TC-ORD-11</t>
  </si>
  <si>
    <t>Invoice shows correct data</t>
  </si>
  <si>
    <t>Invoice PDF has correct order data</t>
  </si>
  <si>
    <t>Invoice generated</t>
  </si>
  <si>
    <t>1. Open invoice PDF
2. Verify data</t>
  </si>
  <si>
    <t>Customer name, items, total, date correct</t>
  </si>
  <si>
    <t>TC-ORD-12</t>
  </si>
  <si>
    <t>Admin search order by ID</t>
  </si>
  <si>
    <t>Admin can find order by ID</t>
  </si>
  <si>
    <t>Orders in system</t>
  </si>
  <si>
    <t>1. Enter order ID in search
2. Submit</t>
  </si>
  <si>
    <t>Order ID: 1</t>
  </si>
  <si>
    <t>Matching order displayed</t>
  </si>
  <si>
    <t>TC-ORD-13</t>
  </si>
  <si>
    <t>Admin refund/cancel order</t>
  </si>
  <si>
    <t>Admin cancels order from backend</t>
  </si>
  <si>
    <t>Order in pending/processing</t>
  </si>
  <si>
    <t>1. Open order in admin
2. Cancel the order</t>
  </si>
  <si>
    <t>Order cancelled; stock restored</t>
  </si>
  <si>
    <t>TC-ORD-14</t>
  </si>
  <si>
    <t>Order status visible to customer</t>
  </si>
  <si>
    <t>Customer sees updated status</t>
  </si>
  <si>
    <t>Admin updated order status</t>
  </si>
  <si>
    <t>1. Admin update status
2. Customer views order</t>
  </si>
  <si>
    <t>Customer sees new status in My Orders</t>
  </si>
  <si>
    <t>◼  ADMIN - CATALOG</t>
  </si>
  <si>
    <t>TC-ADM-CAT-01</t>
  </si>
  <si>
    <t>Add simple product</t>
  </si>
  <si>
    <t>Admin creates a new simple product</t>
  </si>
  <si>
    <t>1. Go to Catalog &gt; Products
2. Click Add Product
3. Fill details
4. Save</t>
  </si>
  <si>
    <t>Name: Test Shirt
Price: $29.99
SKU: TSH001</t>
  </si>
  <si>
    <t>Product saved and visible in storefront</t>
  </si>
  <si>
    <t>TC-ADM-CAT-02</t>
  </si>
  <si>
    <t>Add product without name</t>
  </si>
  <si>
    <t>Product creation fails without name</t>
  </si>
  <si>
    <t>1. Go to Add Product
2. Leave name blank
3. Save</t>
  </si>
  <si>
    <t>Name: (empty)</t>
  </si>
  <si>
    <t>Validation error on Name field</t>
  </si>
  <si>
    <t>TC-ADM-CAT-03</t>
  </si>
  <si>
    <t>Add product without price</t>
  </si>
  <si>
    <t>Product creation fails without price</t>
  </si>
  <si>
    <t>1. Go to Add Product
2. Leave price blank
3. Save</t>
  </si>
  <si>
    <t>Price: (empty)</t>
  </si>
  <si>
    <t>Validation error on Price field</t>
  </si>
  <si>
    <t>TC-ADM-CAT-04</t>
  </si>
  <si>
    <t>Add product with negative price</t>
  </si>
  <si>
    <t>Negative price rejected</t>
  </si>
  <si>
    <t>1. Enter price: -10
2. Save</t>
  </si>
  <si>
    <t>-10</t>
  </si>
  <si>
    <t>Validation error; negative price not allowed</t>
  </si>
  <si>
    <t>TC-ADM-CAT-05</t>
  </si>
  <si>
    <t>Add configurable product</t>
  </si>
  <si>
    <t>Admin creates product with variants</t>
  </si>
  <si>
    <t>1. Add Product &gt; Configurable
2. Set attributes (Size)
3. Configure variants
4. Save</t>
  </si>
  <si>
    <t>Sizes: S, M, L</t>
  </si>
  <si>
    <t>Product saved with 3 variants in storefront</t>
  </si>
  <si>
    <t>TC-ADM-CAT-06</t>
  </si>
  <si>
    <t>Edit product name</t>
  </si>
  <si>
    <t>Admin edits product name; storefront updates</t>
  </si>
  <si>
    <t>1. Go to edit product
2. Change name
3. Save</t>
  </si>
  <si>
    <t>New name: Updated Shirt</t>
  </si>
  <si>
    <t>New name shown in storefront</t>
  </si>
  <si>
    <t>TC-ADM-CAT-07</t>
  </si>
  <si>
    <t>Edit product price</t>
  </si>
  <si>
    <t>Admin edits product price; storefront updates</t>
  </si>
  <si>
    <t>1. Edit product
2. Change price to $39.99
3. Save</t>
  </si>
  <si>
    <t>Price: $39.99</t>
  </si>
  <si>
    <t>New price shown in storefront</t>
  </si>
  <si>
    <t>TC-ADM-CAT-08</t>
  </si>
  <si>
    <t>Update product stock</t>
  </si>
  <si>
    <t>Stock quantity updated in admin</t>
  </si>
  <si>
    <t>1. Edit product
2. Set qty: 50
3. Save</t>
  </si>
  <si>
    <t>Qty: 50</t>
  </si>
  <si>
    <t>Stock updated; product shows in stock</t>
  </si>
  <si>
    <t>Delete product</t>
  </si>
  <si>
    <t>1. Go to Products
2. Select product
3. Delete
4. Confirm</t>
  </si>
  <si>
    <t>Product removed from storefront and admin list</t>
  </si>
  <si>
    <t>TC-ADM-CAT-10</t>
  </si>
  <si>
    <t>Upload product image</t>
  </si>
  <si>
    <t>Admin uploads image for product</t>
  </si>
  <si>
    <t>1. Edit product
2. Upload image file
3. Save</t>
  </si>
  <si>
    <t>Image: product.jpg (&lt; 2MB)</t>
  </si>
  <si>
    <t>Image shown on product page</t>
  </si>
  <si>
    <t>TC-ADM-CAT-11</t>
  </si>
  <si>
    <t>Upload invalid file type</t>
  </si>
  <si>
    <t>System rejects non-image file</t>
  </si>
  <si>
    <t>Admin editing product</t>
  </si>
  <si>
    <t>1. Try uploading PDF as product image</t>
  </si>
  <si>
    <t>File: doc.pdf</t>
  </si>
  <si>
    <t>Error: invalid file type</t>
  </si>
  <si>
    <t>TC-ADM-CAT-12</t>
  </si>
  <si>
    <t>Create category</t>
  </si>
  <si>
    <t>Admin creates new category</t>
  </si>
  <si>
    <t>1. Go to Catalog &gt; Categories
2. Add New
3. Fill name
4. Save</t>
  </si>
  <si>
    <t>Category: Summer Sale</t>
  </si>
  <si>
    <t>Category appears in admin and storefront</t>
  </si>
  <si>
    <t>TC-ADM-CAT-13</t>
  </si>
  <si>
    <t>Edit category name</t>
  </si>
  <si>
    <t>Admin renames category; navigation updates</t>
  </si>
  <si>
    <t>Category exists</t>
  </si>
  <si>
    <t>1. Edit category
2. Change name
3. Save</t>
  </si>
  <si>
    <t>New name: Winter Collection</t>
  </si>
  <si>
    <t>Updated name in navigation</t>
  </si>
  <si>
    <t>TC-ADM-CAT-14</t>
  </si>
  <si>
    <t>Delete category</t>
  </si>
  <si>
    <t>Admin deletes category; products unassigned</t>
  </si>
  <si>
    <t>Category with products</t>
  </si>
  <si>
    <t>1. Delete category
2. Confirm</t>
  </si>
  <si>
    <t>Category removed; products reassigned or uncategorized</t>
  </si>
  <si>
    <t>TC-ADM-CAT-15</t>
  </si>
  <si>
    <t>Create sub-category</t>
  </si>
  <si>
    <t>Admin creates child under parent category</t>
  </si>
  <si>
    <t>Parent category exists</t>
  </si>
  <si>
    <t>1. Add category
2. Set parent: Clothing
3. Name: Men</t>
  </si>
  <si>
    <t>Parent: Clothing, Child: Men</t>
  </si>
  <si>
    <t>Sub-category visible under parent in nav</t>
  </si>
  <si>
    <t>TC-ADM-CAT-16</t>
  </si>
  <si>
    <t>Create attribute</t>
  </si>
  <si>
    <t>Admin creates product attribute</t>
  </si>
  <si>
    <t>1. Go to Catalog &gt; Attributes
2. Add New
3. Name: Color
4. Type: Select
5. Save</t>
  </si>
  <si>
    <t>Attribute: Color (Select)</t>
  </si>
  <si>
    <t>Attribute available in product creation</t>
  </si>
  <si>
    <t>TC-ADM-CAT-17</t>
  </si>
  <si>
    <t>Assign attribute to product</t>
  </si>
  <si>
    <t>Attribute assigned and visible on product</t>
  </si>
  <si>
    <t>Attribute exists</t>
  </si>
  <si>
    <t>1. Edit product
2. Select attribute set with Color
3. Set value: Red
4. Save</t>
  </si>
  <si>
    <t>Color: Red</t>
  </si>
  <si>
    <t>Product detail shows 'Color: Red'</t>
  </si>
  <si>
    <t>TC-ADM-CAT-18</t>
  </si>
  <si>
    <t>Duplicate SKU rejected</t>
  </si>
  <si>
    <t>Two products cannot share SKU</t>
  </si>
  <si>
    <t>One product with SKU exists</t>
  </si>
  <si>
    <t>1. Add new product
2. Enter same SKU
3. Save</t>
  </si>
  <si>
    <t>SKU: TSH001</t>
  </si>
  <si>
    <t>Error: SKU already exists</t>
  </si>
  <si>
    <t>◼  ADMIN - ORDERS</t>
  </si>
  <si>
    <t>TC-ADM-ORD-01</t>
  </si>
  <si>
    <t>Admin - Orders</t>
  </si>
  <si>
    <t>Admin dashboard order count</t>
  </si>
  <si>
    <t>Dashboard shows correct pending order count</t>
  </si>
  <si>
    <t>1. Login admin
2. View dashboard widgets</t>
  </si>
  <si>
    <t>Pending orders count is accurate</t>
  </si>
  <si>
    <t>TC-ADM-ORD-02</t>
  </si>
  <si>
    <t>Filter orders by date range</t>
  </si>
  <si>
    <t>Admin filters orders by date</t>
  </si>
  <si>
    <t>Orders exist</t>
  </si>
  <si>
    <t>1. Set date from–to
2. Apply filter</t>
  </si>
  <si>
    <t>Date: last 7 days</t>
  </si>
  <si>
    <t>Only orders in that range shown</t>
  </si>
  <si>
    <t>TC-ADM-ORD-03</t>
  </si>
  <si>
    <t>Filter orders by customer</t>
  </si>
  <si>
    <t>Admin finds orders for specific customer</t>
  </si>
  <si>
    <t>1. Search by customer email</t>
  </si>
  <si>
    <t>Orders by that customer listed</t>
  </si>
  <si>
    <t>Create shipment with tracking</t>
  </si>
  <si>
    <t>Admin adds tracking number to shipment</t>
  </si>
  <si>
    <t>1. Open order
2. Create shipment
3. Add tracking number</t>
  </si>
  <si>
    <t>Tracking: TRK123456</t>
  </si>
  <si>
    <t>Shipment saved with tracking number</t>
  </si>
  <si>
    <t>TC-ADM-ORD-05</t>
  </si>
  <si>
    <t>Invoice amount correct</t>
  </si>
  <si>
    <t>Invoice total matches order total</t>
  </si>
  <si>
    <t>Order with invoice</t>
  </si>
  <si>
    <t>1. Open admin order
2. Create invoice
3. View invoice</t>
  </si>
  <si>
    <t>Invoice total = Order total</t>
  </si>
  <si>
    <t>TC-ADM-ORD-06</t>
  </si>
  <si>
    <t>Export orders list</t>
  </si>
  <si>
    <t>Admin exports orders to CSV/Excel</t>
  </si>
  <si>
    <t>1. Go to Orders
2. Select export option</t>
  </si>
  <si>
    <t>CSV/Excel file downloaded with order data</t>
  </si>
  <si>
    <t>TC-ADM-ORD-07</t>
  </si>
  <si>
    <t>Refund</t>
  </si>
  <si>
    <t>Admin creates credit memo</t>
  </si>
  <si>
    <t>Admin refunds order via credit memo</t>
  </si>
  <si>
    <t>Invoiced order</t>
  </si>
  <si>
    <t>1. Open invoiced order
2. Create Credit Memo
3. Confirm</t>
  </si>
  <si>
    <t>Credit memo created; refund recorded</t>
  </si>
  <si>
    <t>TC-ADM-ORD-08</t>
  </si>
  <si>
    <t>Order Notes</t>
  </si>
  <si>
    <t>Add comment to order</t>
  </si>
  <si>
    <t>Admin adds internal note to order</t>
  </si>
  <si>
    <t>Order in admin</t>
  </si>
  <si>
    <t>1. Open order
2. Add comment: 'Called customer'
3. Save</t>
  </si>
  <si>
    <t>Comment: Called customer</t>
  </si>
  <si>
    <t>Comment saved and visible in order history</t>
  </si>
  <si>
    <t>TC-ADM-ORD-09</t>
  </si>
  <si>
    <t>Bulk status update</t>
  </si>
  <si>
    <t>Admin updates multiple orders at once</t>
  </si>
  <si>
    <t>Multiple orders exist</t>
  </si>
  <si>
    <t>1. Select 3 orders
2. Bulk action: Cancel
3. Submit</t>
  </si>
  <si>
    <t>3 selected orders</t>
  </si>
  <si>
    <t>All 3 orders updated to Cancelled</t>
  </si>
  <si>
    <t>TC-ADM-ORD-10</t>
  </si>
  <si>
    <t>Order detail shows full info</t>
  </si>
  <si>
    <t>All order fields visible in admin detail</t>
  </si>
  <si>
    <t>1. Open order in admin</t>
  </si>
  <si>
    <t>Customer info, items, totals, shipping, payment shown</t>
  </si>
  <si>
    <t>TC-ADM-ORD-11</t>
  </si>
  <si>
    <t>Email Notification</t>
  </si>
  <si>
    <t>Admin sends order email</t>
  </si>
  <si>
    <t>Admin re-sends order confirmation</t>
  </si>
  <si>
    <t>1. Open order
2. Send email: Order Confirmation</t>
  </si>
  <si>
    <t>Email sent to customer</t>
  </si>
  <si>
    <t>TC-ADM-ORD-12</t>
  </si>
  <si>
    <t>Order search by email</t>
  </si>
  <si>
    <t>Admin searches orders by customer email</t>
  </si>
  <si>
    <t>1. Enter customer email in search</t>
  </si>
  <si>
    <t>Matching orders displayed</t>
  </si>
  <si>
    <t>TC-USR-01</t>
  </si>
  <si>
    <t>Create sub-admin</t>
  </si>
  <si>
    <t>Admin creates a new admin user</t>
  </si>
  <si>
    <t>Super admin logged in</t>
  </si>
  <si>
    <t>1. Go to Settings &gt; Users
2. Add User
3. Fill details
4. Assign role
5. Save</t>
  </si>
  <si>
    <t>Name: SubAdmin
Email: sub@admin.com
Role: Manager</t>
  </si>
  <si>
    <t>Sub-admin account created; can login</t>
  </si>
  <si>
    <t>TC-USR-02</t>
  </si>
  <si>
    <t>Edit admin user role</t>
  </si>
  <si>
    <t>Admin role changed to lower permission</t>
  </si>
  <si>
    <t>Sub-admin exists</t>
  </si>
  <si>
    <t>1. Edit sub-admin
2. Change role to Viewer
3. Save</t>
  </si>
  <si>
    <t>Role: Viewer</t>
  </si>
  <si>
    <t>Role updated; permissions reduced</t>
  </si>
  <si>
    <t>TC-USR-03</t>
  </si>
  <si>
    <t>Delete admin user</t>
  </si>
  <si>
    <t>Admin user deleted</t>
  </si>
  <si>
    <t>1. Select sub-admin
2. Delete
3. Confirm</t>
  </si>
  <si>
    <t>User removed; cannot login</t>
  </si>
  <si>
    <t>TC-USR-04</t>
  </si>
  <si>
    <t>Role-based access control</t>
  </si>
  <si>
    <t>Sub-admin cannot access unauthorized sections</t>
  </si>
  <si>
    <t>Sub-admin with limited role logged in</t>
  </si>
  <si>
    <t>1. Login as sub-admin
2. Try to access restricted section</t>
  </si>
  <si>
    <t>Access denied or section not visible</t>
  </si>
  <si>
    <t>TC-USR-05</t>
  </si>
  <si>
    <t>Admin views customer list</t>
  </si>
  <si>
    <t>All registered customers listed</t>
  </si>
  <si>
    <t>Customers registered</t>
  </si>
  <si>
    <t>1. Go to Admin &gt; Customers</t>
  </si>
  <si>
    <t>List with name, email, order count shown</t>
  </si>
  <si>
    <t>TC-USR-06</t>
  </si>
  <si>
    <t>Filter customer by email</t>
  </si>
  <si>
    <t>Customer found by email search</t>
  </si>
  <si>
    <t>Customers in DB</t>
  </si>
  <si>
    <t>1. Enter email in customer search</t>
  </si>
  <si>
    <t>Matching customer shown</t>
  </si>
  <si>
    <t>TC-USR-07</t>
  </si>
  <si>
    <t>Edit customer email</t>
  </si>
  <si>
    <t>Admin updates customer email</t>
  </si>
  <si>
    <t>Customer exists</t>
  </si>
  <si>
    <t>1. Open customer profile
2. Change email
3. Save</t>
  </si>
  <si>
    <t>Email: newemail@test.com</t>
  </si>
  <si>
    <t>Customer email updated</t>
  </si>
  <si>
    <t>TC-USR-08</t>
  </si>
  <si>
    <t>View customer order history</t>
  </si>
  <si>
    <t>Admin sees customer's orders in profile</t>
  </si>
  <si>
    <t>Customer with orders</t>
  </si>
  <si>
    <t>1. Open customer profile
2. View orders tab</t>
  </si>
  <si>
    <t>Customer's orders listed</t>
  </si>
  <si>
    <t>TC-USR-09</t>
  </si>
  <si>
    <t>Export customer list</t>
  </si>
  <si>
    <t>Admin exports customer data</t>
  </si>
  <si>
    <t>1. Go to Customers
2. Export</t>
  </si>
  <si>
    <t>CSV with customer data downloaded</t>
  </si>
  <si>
    <t>TC-USR-10</t>
  </si>
  <si>
    <t>Admin disables customer</t>
  </si>
  <si>
    <t>Disabled customer cannot login</t>
  </si>
  <si>
    <t>Customer account active</t>
  </si>
  <si>
    <t>1. Edit customer
2. Set status: Inactive
3. Save</t>
  </si>
  <si>
    <t>Status: Inactive</t>
  </si>
  <si>
    <t>Customer cannot login; error shown</t>
  </si>
  <si>
    <t>◼  ADMIN - SETTINGS</t>
  </si>
  <si>
    <t>TC-SET-01</t>
  </si>
  <si>
    <t>Change store name</t>
  </si>
  <si>
    <t>Store name updated site-wide</t>
  </si>
  <si>
    <t>1. Go to Settings &gt; General
2. Change store name
3. Save</t>
  </si>
  <si>
    <t>Store name: MyShop</t>
  </si>
  <si>
    <t>New name appears in storefront header/title</t>
  </si>
  <si>
    <t>TC-SET-02</t>
  </si>
  <si>
    <t>Change default currency</t>
  </si>
  <si>
    <t>Currency symbol updated</t>
  </si>
  <si>
    <t>1. Go to Settings &gt; Currency
2. Set default: EUR
3. Save</t>
  </si>
  <si>
    <t>Currency: EUR</t>
  </si>
  <si>
    <t>Prices show in EUR on storefront</t>
  </si>
  <si>
    <t>TC-SET-03</t>
  </si>
  <si>
    <t>Change timezone</t>
  </si>
  <si>
    <t>Timezone updates for store operations</t>
  </si>
  <si>
    <t>1. Go to Settings &gt; General
2. Change timezone
3. Save</t>
  </si>
  <si>
    <t>Timezone: Asia/Dhaka</t>
  </si>
  <si>
    <t>Orders use new timezone for timestamps</t>
  </si>
  <si>
    <t>TC-SET-04</t>
  </si>
  <si>
    <t>Add tax rate</t>
  </si>
  <si>
    <t>Tax rate created and applied</t>
  </si>
  <si>
    <t>1. Go to Tax &gt; Tax Rates
2. Add Rate 15%
3. Save
4. Assign to tax rule</t>
  </si>
  <si>
    <t>Rate: 15% for BD</t>
  </si>
  <si>
    <t>Tax applied on checkout for BD orders</t>
  </si>
  <si>
    <t>TC-SET-05</t>
  </si>
  <si>
    <t>Zero tax rate</t>
  </si>
  <si>
    <t>0% tax shows no tax charge</t>
  </si>
  <si>
    <t>Tax rule set to 0%</t>
  </si>
  <si>
    <t>1. Configure 0% tax
2. Place order</t>
  </si>
  <si>
    <t>Rate: 0%</t>
  </si>
  <si>
    <t>No tax shown in checkout</t>
  </si>
  <si>
    <t>TC-SET-06</t>
  </si>
  <si>
    <t>Add flat rate shipping</t>
  </si>
  <si>
    <t>Flat rate shipping created</t>
  </si>
  <si>
    <t>1. Go to Shipping &gt; Flat Rate
2. Enable
3. Set price: $5
4. Save</t>
  </si>
  <si>
    <t>Price: $5</t>
  </si>
  <si>
    <t>Flat Rate $5 shown at checkout</t>
  </si>
  <si>
    <t>TC-SET-07</t>
  </si>
  <si>
    <t>Free shipping above order amount</t>
  </si>
  <si>
    <t>1. Enable Free Shipping
2. Set min order: $100
3. Save</t>
  </si>
  <si>
    <t>Min: $100</t>
  </si>
  <si>
    <t>Free shipping shown when cart &gt; $100</t>
  </si>
  <si>
    <t>TC-SET-08</t>
  </si>
  <si>
    <t>Enable Cash on Delivery</t>
  </si>
  <si>
    <t>COD payment method active</t>
  </si>
  <si>
    <t>1. Go to Payment
2. Enable COD
3. Save</t>
  </si>
  <si>
    <t>COD option available at checkout</t>
  </si>
  <si>
    <t>TC-SET-09</t>
  </si>
  <si>
    <t>Disable payment method</t>
  </si>
  <si>
    <t>Disabled method not shown at checkout</t>
  </si>
  <si>
    <t>Payment method enabled</t>
  </si>
  <si>
    <t>1. Disable COD in settings
2. Attempt checkout</t>
  </si>
  <si>
    <t>COD option not shown at checkout</t>
  </si>
  <si>
    <t>TC-SET-10</t>
  </si>
  <si>
    <t>Enable/disable maintenance mode</t>
  </si>
  <si>
    <t>Storefront shows maintenance when enabled</t>
  </si>
  <si>
    <t>1. Enable maintenance mode
2. Visit storefront</t>
  </si>
  <si>
    <t>Maintenance page shown to visitors</t>
  </si>
  <si>
    <t>TC-SET-11</t>
  </si>
  <si>
    <t>Locale language change</t>
  </si>
  <si>
    <t>Storefront language changes</t>
  </si>
  <si>
    <t>Locale enabled</t>
  </si>
  <si>
    <t>1. Switch locale to French
2. View storefront</t>
  </si>
  <si>
    <t>Locale: fr</t>
  </si>
  <si>
    <t>Storefront text in French</t>
  </si>
  <si>
    <t>TC-SET-12</t>
  </si>
  <si>
    <t>Email Config</t>
  </si>
  <si>
    <t>Test email sending</t>
  </si>
  <si>
    <t>Admin tests email configuration</t>
  </si>
  <si>
    <t>SMTP configured</t>
  </si>
  <si>
    <t>1. Go to Email Settings
2. Send test email</t>
  </si>
  <si>
    <t>Test email received in inbox</t>
  </si>
  <si>
    <t>TC-UI-01</t>
  </si>
  <si>
    <t>Mobile storefront layout</t>
  </si>
  <si>
    <t>Storefront renders properly on mobile</t>
  </si>
  <si>
    <t>1. Open storefront on 375px screen
2. Check layout</t>
  </si>
  <si>
    <t>Screen: 375px (iPhone SE)</t>
  </si>
  <si>
    <t>No horizontal scroll; usable UI</t>
  </si>
  <si>
    <t>TC-UI-02</t>
  </si>
  <si>
    <t>Tablet storefront layout</t>
  </si>
  <si>
    <t>Storefront renders properly on tablet</t>
  </si>
  <si>
    <t>1. Open on 768px screen</t>
  </si>
  <si>
    <t>Screen: 768px</t>
  </si>
  <si>
    <t>Correct two-column layout</t>
  </si>
  <si>
    <t>TC-UI-03</t>
  </si>
  <si>
    <t>Desktop storefront</t>
  </si>
  <si>
    <t>Storefront renders properly on desktop</t>
  </si>
  <si>
    <t>1. Open on 1440px screen</t>
  </si>
  <si>
    <t>Screen: 1440px</t>
  </si>
  <si>
    <t>Full layout with sidebar visible</t>
  </si>
  <si>
    <t>TC-UI-04</t>
  </si>
  <si>
    <t>Main menu links work</t>
  </si>
  <si>
    <t>All header navigation links correct</t>
  </si>
  <si>
    <t>1. Click each main menu item
2. Verify destination</t>
  </si>
  <si>
    <t>Correct pages loaded for each link</t>
  </si>
  <si>
    <t>TC-UI-05</t>
  </si>
  <si>
    <t>Footer links work</t>
  </si>
  <si>
    <t>All footer links navigate correctly</t>
  </si>
  <si>
    <t>1. Click each footer link</t>
  </si>
  <si>
    <t>Each link goes to correct page</t>
  </si>
  <si>
    <t>TC-UI-06</t>
  </si>
  <si>
    <t>404 page shown</t>
  </si>
  <si>
    <t>Custom 404 page for invalid URL</t>
  </si>
  <si>
    <t>1. Navigate to /nonexistentpage</t>
  </si>
  <si>
    <t>URL: /thispagedoesnotexist</t>
  </si>
  <si>
    <t>404 error page shown with return link</t>
  </si>
  <si>
    <t>TC-UI-07</t>
  </si>
  <si>
    <t>Admin sidebar navigation</t>
  </si>
  <si>
    <t>Admin panel sidebar links work</t>
  </si>
  <si>
    <t>1. Click each sidebar menu item</t>
  </si>
  <si>
    <t>Correct admin pages loaded</t>
  </si>
  <si>
    <t>TC-UI-08</t>
  </si>
  <si>
    <t>Admin panel mobile view</t>
  </si>
  <si>
    <t>Admin panel usable on mobile</t>
  </si>
  <si>
    <t>1. Open admin on 375px device</t>
  </si>
  <si>
    <t>Screen: 375px</t>
  </si>
  <si>
    <t>Admin panel accessible with hamburger menu</t>
  </si>
  <si>
    <t>TC-UI-09</t>
  </si>
  <si>
    <t>Breadcrumb navigation</t>
  </si>
  <si>
    <t>Breadcrumbs show correct path</t>
  </si>
  <si>
    <t>Category and product pages</t>
  </si>
  <si>
    <t>1. Navigate to product via category
2. Observe breadcrumb</t>
  </si>
  <si>
    <t>Home &gt; Category &gt; Product Name shown</t>
  </si>
  <si>
    <t>TC-UI-10</t>
  </si>
  <si>
    <t>UI Elements</t>
  </si>
  <si>
    <t>Success/Error toasts</t>
  </si>
  <si>
    <t>Toast notifications show for actions</t>
  </si>
  <si>
    <t>1. Add item to cart
2. Observe notification</t>
  </si>
  <si>
    <t>Green success toast shown briefly</t>
  </si>
  <si>
    <t>TC-PERF-01</t>
  </si>
  <si>
    <t>Homepage load time</t>
  </si>
  <si>
    <t>Homepage loads under 3 seconds</t>
  </si>
  <si>
    <t>App running locally</t>
  </si>
  <si>
    <t>1. Open homepage
2. Check DevTools Network tab</t>
  </si>
  <si>
    <t>Page fully loaded &lt; 3 seconds</t>
  </si>
  <si>
    <t>TC-PERF-02</t>
  </si>
  <si>
    <t>Product listing page load</t>
  </si>
  <si>
    <t>Product list loads under 3 seconds</t>
  </si>
  <si>
    <t>1. Open /products
2. Check load time</t>
  </si>
  <si>
    <t>Page loads &lt; 3 seconds</t>
  </si>
  <si>
    <t>TC-PERF-03</t>
  </si>
  <si>
    <t>Product detail page load</t>
  </si>
  <si>
    <t>Product detail loads under 3 seconds</t>
  </si>
  <si>
    <t>Product with images</t>
  </si>
  <si>
    <t>1. Open product detail
2. Check load time</t>
  </si>
  <si>
    <t>TC-PERF-04</t>
  </si>
  <si>
    <t>Admin dashboard load</t>
  </si>
  <si>
    <t>Admin dashboard loads under 5 seconds</t>
  </si>
  <si>
    <t>1. Login admin
2. Time dashboard load</t>
  </si>
  <si>
    <t>Dashboard loads &lt; 5 seconds</t>
  </si>
  <si>
    <t>TC-PERF-05</t>
  </si>
  <si>
    <t>Search response time</t>
  </si>
  <si>
    <t>Product search results return quickly</t>
  </si>
  <si>
    <t>Multiple products</t>
  </si>
  <si>
    <t>1. Type keyword in search
2. Note response time</t>
  </si>
  <si>
    <t>Results shown within 2 seconds</t>
  </si>
  <si>
    <t>TC-PERF-06</t>
  </si>
  <si>
    <t>Checkout page load</t>
  </si>
  <si>
    <t>Checkout page loads quickly</t>
  </si>
  <si>
    <t>1. Open checkout
2. Note load time</t>
  </si>
  <si>
    <t>Checkout loads &lt; 3 seconds</t>
  </si>
  <si>
    <t>TC-PERF-07</t>
  </si>
  <si>
    <t>Cart page load</t>
  </si>
  <si>
    <t>Cart loads correctly with items</t>
  </si>
  <si>
    <t>1. Open cart page
2. Note load time</t>
  </si>
  <si>
    <t>Cart page loads &lt; 2 seconds</t>
  </si>
  <si>
    <t>Bug ID</t>
  </si>
  <si>
    <t>Bug Title</t>
  </si>
  <si>
    <t>Severity</t>
  </si>
  <si>
    <t>Steps to Reproduce</t>
  </si>
  <si>
    <t>Screenshot/Evidence</t>
  </si>
  <si>
    <t>Reported By</t>
  </si>
  <si>
    <t>Reported Date</t>
  </si>
  <si>
    <t>Assigned To</t>
  </si>
  <si>
    <t>Fixed Date</t>
  </si>
  <si>
    <t>Remarks</t>
  </si>
  <si>
    <t>BUG-001</t>
  </si>
  <si>
    <t>Login error message not specific enough</t>
  </si>
  <si>
    <t>Minor</t>
  </si>
  <si>
    <t>Local - Win 11</t>
  </si>
  <si>
    <t>1. Go to /admin
2. Enter wrong email
3. Click Login</t>
  </si>
  <si>
    <t>Specific error like 'Email not found'</t>
  </si>
  <si>
    <t>Generic 'Invalid credentials' shown</t>
  </si>
  <si>
    <t>2025-01-01</t>
  </si>
  <si>
    <t>Open</t>
  </si>
  <si>
    <t>Dev Team</t>
  </si>
  <si>
    <t>Consider more specific error messages</t>
  </si>
  <si>
    <t>BUG-002</t>
  </si>
  <si>
    <t>Setting qty to 0 causes page error</t>
  </si>
  <si>
    <t>Major</t>
  </si>
  <si>
    <t>1. Add item to cart
2. Set qty = 0
3. Click Update</t>
  </si>
  <si>
    <t>Item removed or validation error shown</t>
  </si>
  <si>
    <t>500 server error page shown</t>
  </si>
  <si>
    <t>screenshot_bug002.png</t>
  </si>
  <si>
    <t>2025-01-02</t>
  </si>
  <si>
    <t>Needs input validation on cart qty</t>
  </si>
  <si>
    <t>BUG-003</t>
  </si>
  <si>
    <t>Out-of-stock product can still be added to cart</t>
  </si>
  <si>
    <t>Critical</t>
  </si>
  <si>
    <t>1. Find out-of-stock product
2. Add to cart</t>
  </si>
  <si>
    <t>Add to Cart disabled or error message</t>
  </si>
  <si>
    <t>screenshot_bug003.png</t>
  </si>
  <si>
    <t>Stock validation missing on add-to-cart action</t>
  </si>
  <si>
    <t>TEST SUMMARY REPORT – BAGISTO 2.4</t>
  </si>
  <si>
    <t>Bagisto 2.4 E-commerce Platform</t>
  </si>
  <si>
    <t>Report Date</t>
  </si>
  <si>
    <t>Test Cycle</t>
  </si>
  <si>
    <t>Cycle 1 – Functional Regression</t>
  </si>
  <si>
    <t>Module-wise Execution Summary</t>
  </si>
  <si>
    <t>Total TCs</t>
  </si>
  <si>
    <t>Passed</t>
  </si>
  <si>
    <t>Failed</t>
  </si>
  <si>
    <t>Pending / Not Run</t>
  </si>
  <si>
    <t>Pass Rate</t>
  </si>
  <si>
    <t>Pass Rate:</t>
  </si>
  <si>
    <t>Defect Summary</t>
  </si>
  <si>
    <t>Closed</t>
  </si>
  <si>
    <t>Total</t>
  </si>
  <si>
    <t>Trivial</t>
  </si>
  <si>
    <t>Overall Conclusion &amp; Recommendation</t>
  </si>
  <si>
    <t>Testing covered 46 requirements across 11 modules via 46 test scenarios and 155 test cases. Execution status, pass rate, and defect counts are tracked above and should be updated as each cycle completes. Based on the defect summary, the project lead should confirm whether exit criteria (no open Critical/High defects, ≥95% High-priority pass rate) have been met before sign-off.</t>
  </si>
  <si>
    <t>Sign-off</t>
  </si>
  <si>
    <t>QA Lead: ____________________   Date: __________</t>
  </si>
  <si>
    <t>Project Manager: ____________________   Date: 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</si>
</sst>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charset val="1"/>
    </font>
    <font>
      <b/>
      <sz val="18"/>
      <color rgb="FF1F3864"/>
      <name val="Calibri"/>
      <charset val="1"/>
    </font>
    <font>
      <i/>
      <sz val="12"/>
      <color rgb="FF595959"/>
      <name val="Calibri"/>
      <charset val="1"/>
    </font>
    <font>
      <b/>
      <sz val="10.5"/>
      <name val="Calibri"/>
      <charset val="1"/>
    </font>
    <font>
      <sz val="10.5"/>
      <name val="Calibri"/>
      <charset val="1"/>
    </font>
    <font>
      <b/>
      <sz val="12"/>
      <color rgb="FFFFFFFF"/>
      <name val="Calibri"/>
      <charset val="1"/>
    </font>
    <font>
      <b/>
      <sz val="11"/>
      <color rgb="FFFFFFFF"/>
      <name val="Calibri"/>
      <charset val="1"/>
    </font>
    <font>
      <b/>
      <sz val="11"/>
      <name val="Calibri"/>
      <charset val="1"/>
    </font>
  </fonts>
  <fills count="9">
    <fill>
      <patternFill patternType="none"/>
    </fill>
    <fill>
      <patternFill patternType="gray125"/>
    </fill>
    <fill>
      <patternFill patternType="solid">
        <fgColor rgb="FF2E5395"/>
        <bgColor rgb="FF1F3864"/>
      </patternFill>
    </fill>
    <fill>
      <patternFill patternType="solid">
        <fgColor rgb="FF1F3864"/>
        <bgColor rgb="FF333333"/>
      </patternFill>
    </fill>
    <fill>
      <patternFill patternType="solid">
        <fgColor rgb="FFF2F2F2"/>
        <bgColor rgb="FFFFFFFF"/>
      </patternFill>
    </fill>
    <fill>
      <patternFill patternType="solid">
        <fgColor rgb="FFC6E0B4"/>
        <bgColor rgb="FFDCE6F1"/>
      </patternFill>
    </fill>
    <fill>
      <patternFill patternType="solid">
        <fgColor rgb="FFF8CBAD"/>
        <bgColor rgb="FFFCE4D6"/>
      </patternFill>
    </fill>
    <fill>
      <patternFill patternType="solid">
        <fgColor rgb="FFFCE4D6"/>
        <bgColor rgb="FFF2F2F2"/>
      </patternFill>
    </fill>
    <fill>
      <patternFill patternType="solid">
        <fgColor rgb="FFDCE6F1"/>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4" fillId="0" borderId="0" xfId="0" applyFont="1" applyAlignment="1">
      <alignment vertical="top" wrapText="1"/>
    </xf>
    <xf numFmtId="0" fontId="6" fillId="2" borderId="0" xfId="0" applyFont="1" applyFill="1" applyAlignment="1">
      <alignment horizontal="left" vertical="center"/>
    </xf>
    <xf numFmtId="0" fontId="5" fillId="2" borderId="0" xfId="0" applyFont="1" applyFill="1"/>
    <xf numFmtId="0" fontId="2" fillId="0" borderId="0" xfId="0" applyFont="1"/>
    <xf numFmtId="0" fontId="1" fillId="0" borderId="0" xfId="0" applyFont="1"/>
    <xf numFmtId="0" fontId="3" fillId="0" borderId="0" xfId="0" applyFont="1"/>
    <xf numFmtId="0" fontId="4" fillId="0" borderId="0" xfId="0" applyFont="1" applyAlignment="1">
      <alignment vertical="top" wrapText="1"/>
    </xf>
    <xf numFmtId="0" fontId="4" fillId="0" borderId="0" xfId="0" applyFont="1"/>
    <xf numFmtId="0" fontId="3" fillId="0" borderId="1" xfId="0" applyFont="1" applyBorder="1" applyAlignment="1">
      <alignment vertical="top" wrapText="1"/>
    </xf>
    <xf numFmtId="0" fontId="4" fillId="0" borderId="1" xfId="0" applyFont="1" applyBorder="1" applyAlignment="1">
      <alignment vertical="top" wrapText="1"/>
    </xf>
    <xf numFmtId="0" fontId="6" fillId="3" borderId="1" xfId="0" applyFont="1" applyFill="1" applyBorder="1" applyAlignment="1">
      <alignment horizontal="center" vertical="center"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164" fontId="0" fillId="0" borderId="0" xfId="0" applyNumberFormat="1"/>
    <xf numFmtId="0" fontId="4" fillId="7" borderId="1" xfId="0" applyFont="1" applyFill="1" applyBorder="1" applyAlignment="1">
      <alignment vertical="top" wrapText="1"/>
    </xf>
    <xf numFmtId="0" fontId="7" fillId="8"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CE4D6"/>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39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C28"/>
  <sheetViews>
    <sheetView showGridLines="0" zoomScaleNormal="100" workbookViewId="0">
      <selection activeCell="C15" sqref="C15"/>
    </sheetView>
  </sheetViews>
  <sheetFormatPr defaultColWidth="8.7109375" defaultRowHeight="15" x14ac:dyDescent="0.25"/>
  <cols>
    <col min="1" max="1" width="4" customWidth="1"/>
    <col min="2" max="2" width="30" customWidth="1"/>
    <col min="3" max="3" width="45" customWidth="1"/>
  </cols>
  <sheetData>
    <row r="3" spans="2:3" ht="23.25" x14ac:dyDescent="0.35">
      <c r="B3" s="5" t="s">
        <v>0</v>
      </c>
      <c r="C3" s="5"/>
    </row>
    <row r="4" spans="2:3" ht="15.75" x14ac:dyDescent="0.25">
      <c r="B4" s="4" t="s">
        <v>1</v>
      </c>
      <c r="C4" s="4"/>
    </row>
    <row r="6" spans="2:3" x14ac:dyDescent="0.25">
      <c r="B6" s="6" t="s">
        <v>2</v>
      </c>
      <c r="C6" s="7" t="s">
        <v>3</v>
      </c>
    </row>
    <row r="7" spans="2:3" x14ac:dyDescent="0.25">
      <c r="B7" s="6" t="s">
        <v>4</v>
      </c>
      <c r="C7" s="7" t="s">
        <v>5</v>
      </c>
    </row>
    <row r="8" spans="2:3" x14ac:dyDescent="0.25">
      <c r="B8" s="6" t="s">
        <v>6</v>
      </c>
      <c r="C8" s="7" t="s">
        <v>7</v>
      </c>
    </row>
    <row r="9" spans="2:3" x14ac:dyDescent="0.25">
      <c r="B9" s="6" t="s">
        <v>8</v>
      </c>
      <c r="C9" s="7" t="s">
        <v>9</v>
      </c>
    </row>
    <row r="10" spans="2:3" x14ac:dyDescent="0.25">
      <c r="B10" s="6" t="s">
        <v>10</v>
      </c>
      <c r="C10" s="7" t="s">
        <v>11</v>
      </c>
    </row>
    <row r="11" spans="2:3" x14ac:dyDescent="0.25">
      <c r="B11" s="6" t="s">
        <v>12</v>
      </c>
      <c r="C11" s="7" t="s">
        <v>13</v>
      </c>
    </row>
    <row r="13" spans="2:3" x14ac:dyDescent="0.25">
      <c r="B13" s="6" t="s">
        <v>14</v>
      </c>
      <c r="C13" s="7" t="s">
        <v>15</v>
      </c>
    </row>
    <row r="14" spans="2:3" x14ac:dyDescent="0.25">
      <c r="B14" s="6" t="s">
        <v>16</v>
      </c>
      <c r="C14" s="7" t="s">
        <v>17</v>
      </c>
    </row>
    <row r="15" spans="2:3" x14ac:dyDescent="0.25">
      <c r="B15" s="6" t="s">
        <v>18</v>
      </c>
      <c r="C15" s="7" t="s">
        <v>19</v>
      </c>
    </row>
    <row r="16" spans="2:3" x14ac:dyDescent="0.25">
      <c r="B16" s="6" t="s">
        <v>20</v>
      </c>
      <c r="C16" s="7" t="s">
        <v>19</v>
      </c>
    </row>
    <row r="17" spans="2:3" x14ac:dyDescent="0.25">
      <c r="B17" s="6" t="s">
        <v>21</v>
      </c>
      <c r="C17" s="7" t="s">
        <v>22</v>
      </c>
    </row>
    <row r="18" spans="2:3" ht="42.75" x14ac:dyDescent="0.25">
      <c r="B18" s="6" t="s">
        <v>23</v>
      </c>
      <c r="C18" s="7" t="s">
        <v>24</v>
      </c>
    </row>
    <row r="20" spans="2:3" ht="15.75" x14ac:dyDescent="0.25">
      <c r="B20" s="3" t="s">
        <v>25</v>
      </c>
      <c r="C20" s="3"/>
    </row>
    <row r="21" spans="2:3" x14ac:dyDescent="0.25">
      <c r="B21" s="8" t="s">
        <v>26</v>
      </c>
    </row>
    <row r="22" spans="2:3" x14ac:dyDescent="0.25">
      <c r="B22" s="8" t="s">
        <v>27</v>
      </c>
    </row>
    <row r="23" spans="2:3" x14ac:dyDescent="0.25">
      <c r="B23" s="8" t="s">
        <v>28</v>
      </c>
    </row>
    <row r="24" spans="2:3" x14ac:dyDescent="0.25">
      <c r="B24" s="8" t="s">
        <v>29</v>
      </c>
    </row>
    <row r="25" spans="2:3" x14ac:dyDescent="0.25">
      <c r="B25" s="8" t="s">
        <v>30</v>
      </c>
    </row>
    <row r="26" spans="2:3" x14ac:dyDescent="0.25">
      <c r="B26" s="8" t="s">
        <v>31</v>
      </c>
    </row>
    <row r="27" spans="2:3" x14ac:dyDescent="0.25">
      <c r="B27" s="8" t="s">
        <v>32</v>
      </c>
    </row>
    <row r="28" spans="2:3" x14ac:dyDescent="0.25">
      <c r="B28" s="8" t="s">
        <v>33</v>
      </c>
    </row>
  </sheetData>
  <mergeCells count="3">
    <mergeCell ref="B3:C3"/>
    <mergeCell ref="B4:C4"/>
    <mergeCell ref="B20:C2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5"/>
  <sheetViews>
    <sheetView showGridLines="0" topLeftCell="A46" zoomScaleNormal="100" workbookViewId="0">
      <selection activeCell="B29" sqref="B29"/>
    </sheetView>
  </sheetViews>
  <sheetFormatPr defaultColWidth="8.7109375" defaultRowHeight="15" x14ac:dyDescent="0.25"/>
  <cols>
    <col min="1" max="1" width="30" customWidth="1"/>
    <col min="2" max="2" width="100" customWidth="1"/>
  </cols>
  <sheetData>
    <row r="1" spans="1:2" ht="27.75" customHeight="1" x14ac:dyDescent="0.35">
      <c r="A1" s="5" t="s">
        <v>34</v>
      </c>
      <c r="B1" s="5"/>
    </row>
    <row r="3" spans="1:2" ht="19.5" customHeight="1" x14ac:dyDescent="0.25">
      <c r="A3" s="3" t="s">
        <v>35</v>
      </c>
      <c r="B3" s="3"/>
    </row>
    <row r="4" spans="1:2" x14ac:dyDescent="0.25">
      <c r="A4" s="9" t="s">
        <v>36</v>
      </c>
      <c r="B4" s="10" t="s">
        <v>37</v>
      </c>
    </row>
    <row r="5" spans="1:2" x14ac:dyDescent="0.25">
      <c r="A5" s="9" t="s">
        <v>38</v>
      </c>
      <c r="B5" s="10" t="s">
        <v>39</v>
      </c>
    </row>
    <row r="6" spans="1:2" x14ac:dyDescent="0.25">
      <c r="A6" s="9" t="s">
        <v>40</v>
      </c>
      <c r="B6" s="10" t="s">
        <v>3</v>
      </c>
    </row>
    <row r="7" spans="1:2" x14ac:dyDescent="0.25">
      <c r="A7" s="9" t="s">
        <v>14</v>
      </c>
      <c r="B7" s="10" t="s">
        <v>15</v>
      </c>
    </row>
    <row r="8" spans="1:2" x14ac:dyDescent="0.25">
      <c r="A8" s="9" t="s">
        <v>16</v>
      </c>
      <c r="B8" s="10" t="s">
        <v>17</v>
      </c>
    </row>
    <row r="9" spans="1:2" x14ac:dyDescent="0.25">
      <c r="A9" s="9" t="s">
        <v>41</v>
      </c>
      <c r="B9" s="10" t="s">
        <v>42</v>
      </c>
    </row>
    <row r="11" spans="1:2" ht="19.5" customHeight="1" x14ac:dyDescent="0.25">
      <c r="A11" s="3" t="s">
        <v>43</v>
      </c>
      <c r="B11" s="3"/>
    </row>
    <row r="12" spans="1:2" ht="28.5" x14ac:dyDescent="0.25">
      <c r="A12" s="9" t="s">
        <v>44</v>
      </c>
      <c r="B12" s="10" t="s">
        <v>45</v>
      </c>
    </row>
    <row r="13" spans="1:2" x14ac:dyDescent="0.25">
      <c r="A13" s="9" t="s">
        <v>46</v>
      </c>
      <c r="B13" s="10" t="s">
        <v>47</v>
      </c>
    </row>
    <row r="15" spans="1:2" ht="19.5" customHeight="1" x14ac:dyDescent="0.25">
      <c r="A15" s="3" t="s">
        <v>48</v>
      </c>
      <c r="B15" s="3"/>
    </row>
    <row r="16" spans="1:2" ht="42.75" x14ac:dyDescent="0.25">
      <c r="A16" s="9" t="s">
        <v>49</v>
      </c>
      <c r="B16" s="10" t="s">
        <v>50</v>
      </c>
    </row>
    <row r="17" spans="1:2" ht="42.75" x14ac:dyDescent="0.25">
      <c r="A17" s="9" t="s">
        <v>51</v>
      </c>
      <c r="B17" s="10" t="s">
        <v>52</v>
      </c>
    </row>
    <row r="19" spans="1:2" ht="19.5" customHeight="1" x14ac:dyDescent="0.25">
      <c r="A19" s="3" t="s">
        <v>53</v>
      </c>
      <c r="B19" s="3"/>
    </row>
    <row r="20" spans="1:2" x14ac:dyDescent="0.25">
      <c r="A20" s="9" t="s">
        <v>54</v>
      </c>
      <c r="B20" s="10" t="s">
        <v>55</v>
      </c>
    </row>
    <row r="21" spans="1:2" x14ac:dyDescent="0.25">
      <c r="A21" s="9" t="s">
        <v>56</v>
      </c>
      <c r="B21" s="10" t="s">
        <v>57</v>
      </c>
    </row>
    <row r="22" spans="1:2" ht="28.5" x14ac:dyDescent="0.25">
      <c r="A22" s="9" t="s">
        <v>58</v>
      </c>
      <c r="B22" s="10" t="s">
        <v>59</v>
      </c>
    </row>
    <row r="23" spans="1:2" x14ac:dyDescent="0.25">
      <c r="A23" s="9" t="s">
        <v>60</v>
      </c>
      <c r="B23" s="10" t="s">
        <v>61</v>
      </c>
    </row>
    <row r="25" spans="1:2" ht="19.5" customHeight="1" x14ac:dyDescent="0.25">
      <c r="A25" s="3" t="s">
        <v>62</v>
      </c>
      <c r="B25" s="3"/>
    </row>
    <row r="26" spans="1:2" ht="28.5" x14ac:dyDescent="0.25">
      <c r="A26" s="9" t="s">
        <v>15</v>
      </c>
      <c r="B26" s="10" t="s">
        <v>63</v>
      </c>
    </row>
    <row r="27" spans="1:2" x14ac:dyDescent="0.25">
      <c r="A27" s="9" t="s">
        <v>64</v>
      </c>
      <c r="B27" s="10" t="s">
        <v>65</v>
      </c>
    </row>
    <row r="28" spans="1:2" x14ac:dyDescent="0.25">
      <c r="A28" s="9" t="s">
        <v>66</v>
      </c>
      <c r="B28" s="10" t="s">
        <v>67</v>
      </c>
    </row>
    <row r="30" spans="1:2" ht="19.5" customHeight="1" x14ac:dyDescent="0.25">
      <c r="A30" s="3" t="s">
        <v>68</v>
      </c>
      <c r="B30" s="3"/>
    </row>
    <row r="31" spans="1:2" x14ac:dyDescent="0.25">
      <c r="A31" s="9" t="s">
        <v>69</v>
      </c>
      <c r="B31" s="10" t="s">
        <v>70</v>
      </c>
    </row>
    <row r="32" spans="1:2" x14ac:dyDescent="0.25">
      <c r="A32" s="9" t="s">
        <v>4</v>
      </c>
      <c r="B32" s="10" t="s">
        <v>5</v>
      </c>
    </row>
    <row r="33" spans="1:2" x14ac:dyDescent="0.25">
      <c r="A33" s="9" t="s">
        <v>71</v>
      </c>
      <c r="B33" s="10" t="s">
        <v>72</v>
      </c>
    </row>
    <row r="34" spans="1:2" x14ac:dyDescent="0.25">
      <c r="A34" s="9" t="s">
        <v>73</v>
      </c>
      <c r="B34" s="10" t="s">
        <v>74</v>
      </c>
    </row>
    <row r="35" spans="1:2" x14ac:dyDescent="0.25">
      <c r="A35" s="9" t="s">
        <v>75</v>
      </c>
      <c r="B35" s="10" t="s">
        <v>76</v>
      </c>
    </row>
    <row r="37" spans="1:2" ht="19.5" customHeight="1" x14ac:dyDescent="0.25">
      <c r="A37" s="3" t="s">
        <v>77</v>
      </c>
      <c r="B37" s="3"/>
    </row>
    <row r="38" spans="1:2" ht="42.75" x14ac:dyDescent="0.25">
      <c r="A38" s="9" t="s">
        <v>78</v>
      </c>
      <c r="B38" s="10" t="s">
        <v>79</v>
      </c>
    </row>
    <row r="40" spans="1:2" ht="19.5" customHeight="1" x14ac:dyDescent="0.25">
      <c r="A40" s="3" t="s">
        <v>80</v>
      </c>
      <c r="B40" s="3"/>
    </row>
    <row r="41" spans="1:2" ht="57" x14ac:dyDescent="0.25">
      <c r="A41" s="9" t="s">
        <v>78</v>
      </c>
      <c r="B41" s="10" t="s">
        <v>81</v>
      </c>
    </row>
    <row r="43" spans="1:2" ht="19.5" customHeight="1" x14ac:dyDescent="0.25">
      <c r="A43" s="3" t="s">
        <v>82</v>
      </c>
      <c r="B43" s="3"/>
    </row>
    <row r="44" spans="1:2" x14ac:dyDescent="0.25">
      <c r="A44" s="9" t="s">
        <v>83</v>
      </c>
      <c r="B44" s="10" t="s">
        <v>84</v>
      </c>
    </row>
    <row r="45" spans="1:2" x14ac:dyDescent="0.25">
      <c r="A45" s="9" t="s">
        <v>85</v>
      </c>
      <c r="B45" s="10" t="s">
        <v>86</v>
      </c>
    </row>
    <row r="47" spans="1:2" ht="19.5" customHeight="1" x14ac:dyDescent="0.25">
      <c r="A47" s="3" t="s">
        <v>87</v>
      </c>
      <c r="B47" s="3"/>
    </row>
    <row r="48" spans="1:2" ht="99.75" x14ac:dyDescent="0.25">
      <c r="A48" s="9" t="s">
        <v>88</v>
      </c>
      <c r="B48" s="10" t="s">
        <v>89</v>
      </c>
    </row>
    <row r="50" spans="1:2" ht="19.5" customHeight="1" x14ac:dyDescent="0.25">
      <c r="A50" s="3" t="s">
        <v>90</v>
      </c>
      <c r="B50" s="3"/>
    </row>
    <row r="51" spans="1:2" x14ac:dyDescent="0.25">
      <c r="A51" s="9" t="s">
        <v>91</v>
      </c>
      <c r="B51" s="10" t="s">
        <v>92</v>
      </c>
    </row>
    <row r="52" spans="1:2" x14ac:dyDescent="0.25">
      <c r="A52" s="9" t="s">
        <v>93</v>
      </c>
      <c r="B52" s="10" t="s">
        <v>94</v>
      </c>
    </row>
    <row r="53" spans="1:2" x14ac:dyDescent="0.25">
      <c r="A53" s="9" t="s">
        <v>95</v>
      </c>
      <c r="B53" s="10" t="s">
        <v>96</v>
      </c>
    </row>
    <row r="54" spans="1:2" x14ac:dyDescent="0.25">
      <c r="A54" s="9" t="s">
        <v>97</v>
      </c>
      <c r="B54" s="10" t="s">
        <v>98</v>
      </c>
    </row>
    <row r="56" spans="1:2" ht="19.5" customHeight="1" x14ac:dyDescent="0.25">
      <c r="A56" s="3" t="s">
        <v>99</v>
      </c>
      <c r="B56" s="3"/>
    </row>
    <row r="57" spans="1:2" x14ac:dyDescent="0.25">
      <c r="A57" s="9" t="s">
        <v>100</v>
      </c>
      <c r="B57" s="10" t="s">
        <v>101</v>
      </c>
    </row>
    <row r="58" spans="1:2" ht="28.5" x14ac:dyDescent="0.25">
      <c r="A58" s="9" t="s">
        <v>102</v>
      </c>
      <c r="B58" s="10" t="s">
        <v>103</v>
      </c>
    </row>
    <row r="59" spans="1:2" ht="28.5" x14ac:dyDescent="0.25">
      <c r="A59" s="9" t="s">
        <v>104</v>
      </c>
      <c r="B59" s="10" t="s">
        <v>105</v>
      </c>
    </row>
    <row r="61" spans="1:2" ht="19.5" customHeight="1" x14ac:dyDescent="0.25">
      <c r="A61" s="3" t="s">
        <v>106</v>
      </c>
      <c r="B61" s="3"/>
    </row>
    <row r="62" spans="1:2" ht="28.5" x14ac:dyDescent="0.25">
      <c r="A62" s="9" t="s">
        <v>107</v>
      </c>
      <c r="B62" s="10" t="s">
        <v>108</v>
      </c>
    </row>
    <row r="63" spans="1:2" x14ac:dyDescent="0.25">
      <c r="A63" s="9" t="s">
        <v>109</v>
      </c>
      <c r="B63" s="10" t="s">
        <v>110</v>
      </c>
    </row>
    <row r="64" spans="1:2" x14ac:dyDescent="0.25">
      <c r="A64" s="9" t="s">
        <v>111</v>
      </c>
      <c r="B64" s="10" t="s">
        <v>112</v>
      </c>
    </row>
    <row r="65" spans="1:2" x14ac:dyDescent="0.25">
      <c r="A65" s="9" t="s">
        <v>113</v>
      </c>
      <c r="B65" s="10" t="s">
        <v>114</v>
      </c>
    </row>
  </sheetData>
  <mergeCells count="14">
    <mergeCell ref="A47:B47"/>
    <mergeCell ref="A50:B50"/>
    <mergeCell ref="A56:B56"/>
    <mergeCell ref="A61:B61"/>
    <mergeCell ref="A25:B25"/>
    <mergeCell ref="A30:B30"/>
    <mergeCell ref="A37:B37"/>
    <mergeCell ref="A40:B40"/>
    <mergeCell ref="A43:B43"/>
    <mergeCell ref="A1:B1"/>
    <mergeCell ref="A3:B3"/>
    <mergeCell ref="A11:B11"/>
    <mergeCell ref="A15:B15"/>
    <mergeCell ref="A19:B19"/>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7"/>
  <sheetViews>
    <sheetView zoomScaleNormal="100" workbookViewId="0">
      <pane ySplit="1" topLeftCell="A35" activePane="bottomLeft" state="frozen"/>
      <selection pane="bottomLeft"/>
    </sheetView>
  </sheetViews>
  <sheetFormatPr defaultColWidth="8.7109375" defaultRowHeight="15" x14ac:dyDescent="0.25"/>
  <cols>
    <col min="1" max="1" width="15.5703125" customWidth="1"/>
    <col min="2" max="2" width="16" customWidth="1"/>
    <col min="3" max="3" width="18" customWidth="1"/>
    <col min="4" max="4" width="42" customWidth="1"/>
    <col min="5" max="5" width="10" customWidth="1"/>
    <col min="6" max="6" width="13" customWidth="1"/>
    <col min="7" max="7" width="28" customWidth="1"/>
  </cols>
  <sheetData>
    <row r="1" spans="1:7" x14ac:dyDescent="0.25">
      <c r="A1" s="11" t="s">
        <v>115</v>
      </c>
      <c r="B1" s="11" t="s">
        <v>116</v>
      </c>
      <c r="C1" s="11" t="s">
        <v>117</v>
      </c>
      <c r="D1" s="11" t="s">
        <v>118</v>
      </c>
      <c r="E1" s="11" t="s">
        <v>119</v>
      </c>
      <c r="F1" s="11" t="s">
        <v>120</v>
      </c>
      <c r="G1" s="11" t="s">
        <v>121</v>
      </c>
    </row>
    <row r="2" spans="1:7" ht="28.5" x14ac:dyDescent="0.25">
      <c r="A2" s="10" t="s">
        <v>122</v>
      </c>
      <c r="B2" s="10" t="s">
        <v>123</v>
      </c>
      <c r="C2" s="10" t="s">
        <v>124</v>
      </c>
      <c r="D2" s="10" t="s">
        <v>125</v>
      </c>
      <c r="E2" s="10" t="s">
        <v>126</v>
      </c>
      <c r="F2" s="10" t="s">
        <v>127</v>
      </c>
      <c r="G2" s="10" t="s">
        <v>128</v>
      </c>
    </row>
    <row r="3" spans="1:7" ht="28.5" x14ac:dyDescent="0.25">
      <c r="A3" s="12" t="s">
        <v>129</v>
      </c>
      <c r="B3" s="12"/>
      <c r="C3" s="12" t="s">
        <v>130</v>
      </c>
      <c r="D3" s="12" t="s">
        <v>131</v>
      </c>
      <c r="E3" s="12" t="s">
        <v>126</v>
      </c>
      <c r="F3" s="12"/>
      <c r="G3" s="12" t="s">
        <v>132</v>
      </c>
    </row>
    <row r="4" spans="1:7" ht="28.5" x14ac:dyDescent="0.25">
      <c r="A4" s="10" t="s">
        <v>133</v>
      </c>
      <c r="B4" s="10"/>
      <c r="C4" s="10" t="s">
        <v>134</v>
      </c>
      <c r="D4" s="10" t="s">
        <v>135</v>
      </c>
      <c r="E4" s="10" t="s">
        <v>126</v>
      </c>
      <c r="F4" s="10"/>
      <c r="G4" s="10" t="s">
        <v>136</v>
      </c>
    </row>
    <row r="5" spans="1:7" ht="28.5" x14ac:dyDescent="0.25">
      <c r="A5" s="12" t="s">
        <v>137</v>
      </c>
      <c r="B5" s="12"/>
      <c r="C5" s="12" t="s">
        <v>138</v>
      </c>
      <c r="D5" s="12" t="s">
        <v>139</v>
      </c>
      <c r="E5" s="12" t="s">
        <v>140</v>
      </c>
      <c r="F5" s="12"/>
      <c r="G5" s="12" t="s">
        <v>141</v>
      </c>
    </row>
    <row r="6" spans="1:7" ht="28.5" x14ac:dyDescent="0.25">
      <c r="A6" s="10" t="s">
        <v>142</v>
      </c>
      <c r="B6" s="10"/>
      <c r="C6" s="10" t="s">
        <v>143</v>
      </c>
      <c r="D6" s="10" t="s">
        <v>144</v>
      </c>
      <c r="E6" s="10" t="s">
        <v>145</v>
      </c>
      <c r="F6" s="10"/>
      <c r="G6" s="10" t="s">
        <v>146</v>
      </c>
    </row>
    <row r="7" spans="1:7" ht="28.5" x14ac:dyDescent="0.25">
      <c r="A7" s="12" t="s">
        <v>147</v>
      </c>
      <c r="B7" s="12" t="s">
        <v>148</v>
      </c>
      <c r="C7" s="12" t="s">
        <v>149</v>
      </c>
      <c r="D7" s="12" t="s">
        <v>150</v>
      </c>
      <c r="E7" s="12" t="s">
        <v>126</v>
      </c>
      <c r="F7" s="12" t="s">
        <v>127</v>
      </c>
      <c r="G7" s="12" t="s">
        <v>151</v>
      </c>
    </row>
    <row r="8" spans="1:7" x14ac:dyDescent="0.25">
      <c r="A8" s="10" t="s">
        <v>152</v>
      </c>
      <c r="B8" s="10"/>
      <c r="C8" s="10" t="s">
        <v>153</v>
      </c>
      <c r="D8" s="10" t="s">
        <v>154</v>
      </c>
      <c r="E8" s="10" t="s">
        <v>126</v>
      </c>
      <c r="F8" s="10"/>
      <c r="G8" s="10" t="s">
        <v>155</v>
      </c>
    </row>
    <row r="9" spans="1:7" ht="28.5" x14ac:dyDescent="0.25">
      <c r="A9" s="12" t="s">
        <v>156</v>
      </c>
      <c r="B9" s="12"/>
      <c r="C9" s="12" t="s">
        <v>157</v>
      </c>
      <c r="D9" s="12" t="s">
        <v>158</v>
      </c>
      <c r="E9" s="12" t="s">
        <v>126</v>
      </c>
      <c r="F9" s="12"/>
      <c r="G9" s="12" t="s">
        <v>159</v>
      </c>
    </row>
    <row r="10" spans="1:7" x14ac:dyDescent="0.25">
      <c r="A10" s="10" t="s">
        <v>160</v>
      </c>
      <c r="B10" s="10"/>
      <c r="C10" s="10" t="s">
        <v>161</v>
      </c>
      <c r="D10" s="10" t="s">
        <v>162</v>
      </c>
      <c r="E10" s="10" t="s">
        <v>126</v>
      </c>
      <c r="F10" s="10"/>
      <c r="G10" s="10" t="s">
        <v>163</v>
      </c>
    </row>
    <row r="11" spans="1:7" x14ac:dyDescent="0.25">
      <c r="A11" s="12" t="s">
        <v>164</v>
      </c>
      <c r="B11" s="12"/>
      <c r="C11" s="12" t="s">
        <v>165</v>
      </c>
      <c r="D11" s="12" t="s">
        <v>166</v>
      </c>
      <c r="E11" s="12" t="s">
        <v>140</v>
      </c>
      <c r="F11" s="12"/>
      <c r="G11" s="12" t="s">
        <v>167</v>
      </c>
    </row>
    <row r="12" spans="1:7" x14ac:dyDescent="0.25">
      <c r="A12" s="10" t="s">
        <v>168</v>
      </c>
      <c r="B12" s="10"/>
      <c r="C12" s="10" t="s">
        <v>169</v>
      </c>
      <c r="D12" s="10" t="s">
        <v>170</v>
      </c>
      <c r="E12" s="10" t="s">
        <v>140</v>
      </c>
      <c r="F12" s="10"/>
      <c r="G12" s="10" t="s">
        <v>171</v>
      </c>
    </row>
    <row r="13" spans="1:7" x14ac:dyDescent="0.25">
      <c r="A13" s="12" t="s">
        <v>172</v>
      </c>
      <c r="B13" s="12"/>
      <c r="C13" s="12" t="s">
        <v>173</v>
      </c>
      <c r="D13" s="12"/>
      <c r="E13" s="12" t="s">
        <v>126</v>
      </c>
      <c r="F13" s="12"/>
      <c r="G13" s="12" t="s">
        <v>174</v>
      </c>
    </row>
    <row r="14" spans="1:7" x14ac:dyDescent="0.25">
      <c r="A14" s="10" t="s">
        <v>175</v>
      </c>
      <c r="B14" s="10" t="s">
        <v>176</v>
      </c>
      <c r="C14" s="10" t="s">
        <v>177</v>
      </c>
      <c r="D14" s="10" t="s">
        <v>178</v>
      </c>
      <c r="E14" s="10" t="s">
        <v>126</v>
      </c>
      <c r="F14" s="10" t="s">
        <v>127</v>
      </c>
      <c r="G14" s="10" t="s">
        <v>179</v>
      </c>
    </row>
    <row r="15" spans="1:7" x14ac:dyDescent="0.25">
      <c r="A15" s="12" t="s">
        <v>180</v>
      </c>
      <c r="B15" s="12"/>
      <c r="C15" s="12" t="s">
        <v>181</v>
      </c>
      <c r="D15" s="12" t="s">
        <v>182</v>
      </c>
      <c r="E15" s="12" t="s">
        <v>126</v>
      </c>
      <c r="F15" s="12"/>
      <c r="G15" s="12" t="s">
        <v>183</v>
      </c>
    </row>
    <row r="16" spans="1:7" x14ac:dyDescent="0.25">
      <c r="A16" s="10" t="s">
        <v>184</v>
      </c>
      <c r="B16" s="10"/>
      <c r="C16" s="10" t="s">
        <v>185</v>
      </c>
      <c r="D16" s="10" t="s">
        <v>186</v>
      </c>
      <c r="E16" s="10" t="s">
        <v>126</v>
      </c>
      <c r="F16" s="10"/>
      <c r="G16" s="10" t="s">
        <v>187</v>
      </c>
    </row>
    <row r="17" spans="1:7" x14ac:dyDescent="0.25">
      <c r="A17" s="12" t="s">
        <v>188</v>
      </c>
      <c r="B17" s="12"/>
      <c r="C17" s="12" t="s">
        <v>189</v>
      </c>
      <c r="D17" s="12" t="s">
        <v>190</v>
      </c>
      <c r="E17" s="12" t="s">
        <v>140</v>
      </c>
      <c r="F17" s="12"/>
      <c r="G17" s="12" t="s">
        <v>191</v>
      </c>
    </row>
    <row r="18" spans="1:7" x14ac:dyDescent="0.25">
      <c r="A18" s="10" t="s">
        <v>192</v>
      </c>
      <c r="B18" s="10"/>
      <c r="C18" s="10" t="s">
        <v>193</v>
      </c>
      <c r="D18" s="10" t="s">
        <v>194</v>
      </c>
      <c r="E18" s="10" t="s">
        <v>126</v>
      </c>
      <c r="F18" s="10"/>
      <c r="G18" s="10" t="s">
        <v>195</v>
      </c>
    </row>
    <row r="19" spans="1:7" x14ac:dyDescent="0.25">
      <c r="A19" s="12" t="s">
        <v>196</v>
      </c>
      <c r="B19" s="12" t="s">
        <v>197</v>
      </c>
      <c r="C19" s="12" t="s">
        <v>198</v>
      </c>
      <c r="D19" s="12" t="s">
        <v>199</v>
      </c>
      <c r="E19" s="12" t="s">
        <v>126</v>
      </c>
      <c r="F19" s="12" t="s">
        <v>127</v>
      </c>
      <c r="G19" s="12" t="s">
        <v>200</v>
      </c>
    </row>
    <row r="20" spans="1:7" x14ac:dyDescent="0.25">
      <c r="A20" s="10" t="s">
        <v>201</v>
      </c>
      <c r="B20" s="10"/>
      <c r="C20" s="10" t="s">
        <v>202</v>
      </c>
      <c r="D20" s="10" t="s">
        <v>203</v>
      </c>
      <c r="E20" s="10" t="s">
        <v>126</v>
      </c>
      <c r="F20" s="10"/>
      <c r="G20" s="10" t="s">
        <v>204</v>
      </c>
    </row>
    <row r="21" spans="1:7" x14ac:dyDescent="0.25">
      <c r="A21" s="12" t="s">
        <v>205</v>
      </c>
      <c r="B21" s="12"/>
      <c r="C21" s="12" t="s">
        <v>206</v>
      </c>
      <c r="D21" s="12" t="s">
        <v>207</v>
      </c>
      <c r="E21" s="12" t="s">
        <v>126</v>
      </c>
      <c r="F21" s="12"/>
      <c r="G21" s="12" t="s">
        <v>208</v>
      </c>
    </row>
    <row r="22" spans="1:7" x14ac:dyDescent="0.25">
      <c r="A22" s="10" t="s">
        <v>209</v>
      </c>
      <c r="B22" s="10"/>
      <c r="C22" s="10" t="s">
        <v>210</v>
      </c>
      <c r="D22" s="10" t="s">
        <v>211</v>
      </c>
      <c r="E22" s="10" t="s">
        <v>126</v>
      </c>
      <c r="F22" s="10"/>
      <c r="G22" s="10" t="s">
        <v>212</v>
      </c>
    </row>
    <row r="23" spans="1:7" x14ac:dyDescent="0.25">
      <c r="A23" s="12" t="s">
        <v>213</v>
      </c>
      <c r="B23" s="12"/>
      <c r="C23" s="12" t="s">
        <v>214</v>
      </c>
      <c r="D23" s="12" t="s">
        <v>215</v>
      </c>
      <c r="E23" s="12" t="s">
        <v>126</v>
      </c>
      <c r="F23" s="12"/>
      <c r="G23" s="12" t="s">
        <v>216</v>
      </c>
    </row>
    <row r="24" spans="1:7" x14ac:dyDescent="0.25">
      <c r="A24" s="10" t="s">
        <v>217</v>
      </c>
      <c r="B24" s="10"/>
      <c r="C24" s="10" t="s">
        <v>218</v>
      </c>
      <c r="D24" s="10" t="s">
        <v>219</v>
      </c>
      <c r="E24" s="10" t="s">
        <v>126</v>
      </c>
      <c r="F24" s="10"/>
      <c r="G24" s="10" t="s">
        <v>220</v>
      </c>
    </row>
    <row r="25" spans="1:7" ht="28.5" x14ac:dyDescent="0.25">
      <c r="A25" s="12" t="s">
        <v>221</v>
      </c>
      <c r="B25" s="12" t="s">
        <v>222</v>
      </c>
      <c r="C25" s="12" t="s">
        <v>223</v>
      </c>
      <c r="D25" s="12" t="s">
        <v>224</v>
      </c>
      <c r="E25" s="12" t="s">
        <v>126</v>
      </c>
      <c r="F25" s="12" t="s">
        <v>127</v>
      </c>
      <c r="G25" s="12" t="s">
        <v>225</v>
      </c>
    </row>
    <row r="26" spans="1:7" ht="28.5" x14ac:dyDescent="0.25">
      <c r="A26" s="10" t="s">
        <v>226</v>
      </c>
      <c r="B26" s="10"/>
      <c r="C26" s="10" t="s">
        <v>227</v>
      </c>
      <c r="D26" s="10" t="s">
        <v>228</v>
      </c>
      <c r="E26" s="10" t="s">
        <v>126</v>
      </c>
      <c r="F26" s="10"/>
      <c r="G26" s="10" t="s">
        <v>229</v>
      </c>
    </row>
    <row r="27" spans="1:7" ht="28.5" x14ac:dyDescent="0.25">
      <c r="A27" s="12" t="s">
        <v>230</v>
      </c>
      <c r="B27" s="12"/>
      <c r="C27" s="12" t="s">
        <v>231</v>
      </c>
      <c r="D27" s="12" t="s">
        <v>232</v>
      </c>
      <c r="E27" s="12" t="s">
        <v>140</v>
      </c>
      <c r="F27" s="12"/>
      <c r="G27" s="12" t="s">
        <v>233</v>
      </c>
    </row>
    <row r="28" spans="1:7" ht="28.5" x14ac:dyDescent="0.25">
      <c r="A28" s="10" t="s">
        <v>234</v>
      </c>
      <c r="B28" s="10"/>
      <c r="C28" s="10" t="s">
        <v>235</v>
      </c>
      <c r="D28" s="10" t="s">
        <v>236</v>
      </c>
      <c r="E28" s="10" t="s">
        <v>126</v>
      </c>
      <c r="F28" s="10"/>
      <c r="G28" s="10" t="s">
        <v>237</v>
      </c>
    </row>
    <row r="29" spans="1:7" ht="28.5" x14ac:dyDescent="0.25">
      <c r="A29" s="12" t="s">
        <v>238</v>
      </c>
      <c r="B29" s="12"/>
      <c r="C29" s="12" t="s">
        <v>239</v>
      </c>
      <c r="D29" s="12" t="s">
        <v>240</v>
      </c>
      <c r="E29" s="12" t="s">
        <v>140</v>
      </c>
      <c r="F29" s="12"/>
      <c r="G29" s="12" t="s">
        <v>241</v>
      </c>
    </row>
    <row r="30" spans="1:7" ht="28.5" x14ac:dyDescent="0.25">
      <c r="A30" s="10" t="s">
        <v>242</v>
      </c>
      <c r="B30" s="10" t="s">
        <v>243</v>
      </c>
      <c r="C30" s="10" t="s">
        <v>244</v>
      </c>
      <c r="D30" s="10" t="s">
        <v>245</v>
      </c>
      <c r="E30" s="10" t="s">
        <v>126</v>
      </c>
      <c r="F30" s="10" t="s">
        <v>127</v>
      </c>
      <c r="G30" s="10" t="s">
        <v>246</v>
      </c>
    </row>
    <row r="31" spans="1:7" ht="28.5" x14ac:dyDescent="0.25">
      <c r="A31" s="12" t="s">
        <v>247</v>
      </c>
      <c r="B31" s="12"/>
      <c r="C31" s="12" t="s">
        <v>248</v>
      </c>
      <c r="D31" s="12" t="s">
        <v>249</v>
      </c>
      <c r="E31" s="12" t="s">
        <v>126</v>
      </c>
      <c r="F31" s="12"/>
      <c r="G31" s="12" t="s">
        <v>250</v>
      </c>
    </row>
    <row r="32" spans="1:7" ht="28.5" x14ac:dyDescent="0.25">
      <c r="A32" s="10" t="s">
        <v>251</v>
      </c>
      <c r="B32" s="10"/>
      <c r="C32" s="10" t="s">
        <v>252</v>
      </c>
      <c r="D32" s="10" t="s">
        <v>253</v>
      </c>
      <c r="E32" s="10" t="s">
        <v>140</v>
      </c>
      <c r="F32" s="10"/>
      <c r="G32" s="10" t="s">
        <v>254</v>
      </c>
    </row>
    <row r="33" spans="1:7" ht="28.5" x14ac:dyDescent="0.25">
      <c r="A33" s="12" t="s">
        <v>255</v>
      </c>
      <c r="B33" s="12"/>
      <c r="C33" s="12" t="s">
        <v>256</v>
      </c>
      <c r="D33" s="12" t="s">
        <v>257</v>
      </c>
      <c r="E33" s="12" t="s">
        <v>140</v>
      </c>
      <c r="F33" s="12"/>
      <c r="G33" s="12" t="s">
        <v>258</v>
      </c>
    </row>
    <row r="34" spans="1:7" ht="28.5" x14ac:dyDescent="0.25">
      <c r="A34" s="10" t="s">
        <v>259</v>
      </c>
      <c r="B34" s="10"/>
      <c r="C34" s="10" t="s">
        <v>260</v>
      </c>
      <c r="D34" s="10" t="s">
        <v>261</v>
      </c>
      <c r="E34" s="10" t="s">
        <v>126</v>
      </c>
      <c r="F34" s="10"/>
      <c r="G34" s="10" t="s">
        <v>262</v>
      </c>
    </row>
    <row r="35" spans="1:7" ht="28.5" x14ac:dyDescent="0.25">
      <c r="A35" s="12" t="s">
        <v>263</v>
      </c>
      <c r="B35" s="12"/>
      <c r="C35" s="12" t="s">
        <v>264</v>
      </c>
      <c r="D35" s="12" t="s">
        <v>265</v>
      </c>
      <c r="E35" s="12" t="s">
        <v>140</v>
      </c>
      <c r="F35" s="12"/>
      <c r="G35" s="12" t="s">
        <v>266</v>
      </c>
    </row>
    <row r="36" spans="1:7" ht="28.5" x14ac:dyDescent="0.25">
      <c r="A36" s="10" t="s">
        <v>267</v>
      </c>
      <c r="B36" s="10" t="s">
        <v>268</v>
      </c>
      <c r="C36" s="10" t="s">
        <v>269</v>
      </c>
      <c r="D36" s="10" t="s">
        <v>270</v>
      </c>
      <c r="E36" s="10" t="s">
        <v>140</v>
      </c>
      <c r="F36" s="10" t="s">
        <v>127</v>
      </c>
      <c r="G36" s="10" t="s">
        <v>271</v>
      </c>
    </row>
    <row r="37" spans="1:7" x14ac:dyDescent="0.25">
      <c r="A37" s="12" t="s">
        <v>272</v>
      </c>
      <c r="B37" s="12"/>
      <c r="C37" s="12" t="s">
        <v>273</v>
      </c>
      <c r="D37" s="12" t="s">
        <v>274</v>
      </c>
      <c r="E37" s="12" t="s">
        <v>140</v>
      </c>
      <c r="F37" s="12"/>
      <c r="G37" s="12" t="s">
        <v>275</v>
      </c>
    </row>
    <row r="38" spans="1:7" x14ac:dyDescent="0.25">
      <c r="A38" s="10" t="s">
        <v>276</v>
      </c>
      <c r="B38" s="10"/>
      <c r="C38" s="10" t="s">
        <v>277</v>
      </c>
      <c r="D38" s="10" t="s">
        <v>278</v>
      </c>
      <c r="E38" s="10" t="s">
        <v>140</v>
      </c>
      <c r="F38" s="10"/>
      <c r="G38" s="10" t="s">
        <v>279</v>
      </c>
    </row>
    <row r="39" spans="1:7" ht="28.5" x14ac:dyDescent="0.25">
      <c r="A39" s="12" t="s">
        <v>280</v>
      </c>
      <c r="B39" s="12" t="s">
        <v>281</v>
      </c>
      <c r="C39" s="12" t="s">
        <v>282</v>
      </c>
      <c r="D39" s="12" t="s">
        <v>283</v>
      </c>
      <c r="E39" s="12" t="s">
        <v>126</v>
      </c>
      <c r="F39" s="12" t="s">
        <v>127</v>
      </c>
      <c r="G39" s="12" t="s">
        <v>284</v>
      </c>
    </row>
    <row r="40" spans="1:7" ht="28.5" x14ac:dyDescent="0.25">
      <c r="A40" s="10" t="s">
        <v>285</v>
      </c>
      <c r="B40" s="10"/>
      <c r="C40" s="10" t="s">
        <v>286</v>
      </c>
      <c r="D40" s="10" t="s">
        <v>287</v>
      </c>
      <c r="E40" s="10" t="s">
        <v>126</v>
      </c>
      <c r="F40" s="10"/>
      <c r="G40" s="10" t="s">
        <v>288</v>
      </c>
    </row>
    <row r="41" spans="1:7" ht="28.5" x14ac:dyDescent="0.25">
      <c r="A41" s="12" t="s">
        <v>289</v>
      </c>
      <c r="B41" s="12"/>
      <c r="C41" s="12" t="s">
        <v>290</v>
      </c>
      <c r="D41" s="12" t="s">
        <v>291</v>
      </c>
      <c r="E41" s="12" t="s">
        <v>126</v>
      </c>
      <c r="F41" s="12"/>
      <c r="G41" s="12" t="s">
        <v>292</v>
      </c>
    </row>
    <row r="42" spans="1:7" ht="28.5" x14ac:dyDescent="0.25">
      <c r="A42" s="10" t="s">
        <v>293</v>
      </c>
      <c r="B42" s="10"/>
      <c r="C42" s="10" t="s">
        <v>294</v>
      </c>
      <c r="D42" s="10" t="s">
        <v>295</v>
      </c>
      <c r="E42" s="10" t="s">
        <v>126</v>
      </c>
      <c r="F42" s="10"/>
      <c r="G42" s="10" t="s">
        <v>296</v>
      </c>
    </row>
    <row r="43" spans="1:7" x14ac:dyDescent="0.25">
      <c r="A43" s="12" t="s">
        <v>297</v>
      </c>
      <c r="B43" s="12" t="s">
        <v>298</v>
      </c>
      <c r="C43" s="12" t="s">
        <v>299</v>
      </c>
      <c r="D43" s="12" t="s">
        <v>300</v>
      </c>
      <c r="E43" s="12" t="s">
        <v>126</v>
      </c>
      <c r="F43" s="12" t="s">
        <v>298</v>
      </c>
      <c r="G43" s="12" t="s">
        <v>301</v>
      </c>
    </row>
    <row r="44" spans="1:7" x14ac:dyDescent="0.25">
      <c r="A44" s="10" t="s">
        <v>302</v>
      </c>
      <c r="B44" s="10"/>
      <c r="C44" s="10" t="s">
        <v>303</v>
      </c>
      <c r="D44" s="10" t="s">
        <v>304</v>
      </c>
      <c r="E44" s="10" t="s">
        <v>126</v>
      </c>
      <c r="F44" s="10"/>
      <c r="G44" s="10" t="s">
        <v>305</v>
      </c>
    </row>
    <row r="45" spans="1:7" x14ac:dyDescent="0.25">
      <c r="A45" s="12" t="s">
        <v>306</v>
      </c>
      <c r="B45" s="12"/>
      <c r="C45" s="12" t="s">
        <v>307</v>
      </c>
      <c r="D45" s="12" t="s">
        <v>308</v>
      </c>
      <c r="E45" s="12" t="s">
        <v>140</v>
      </c>
      <c r="F45" s="12"/>
      <c r="G45" s="12" t="s">
        <v>309</v>
      </c>
    </row>
    <row r="46" spans="1:7" x14ac:dyDescent="0.25">
      <c r="A46" s="10" t="s">
        <v>310</v>
      </c>
      <c r="B46" s="10" t="s">
        <v>311</v>
      </c>
      <c r="C46" s="10" t="s">
        <v>312</v>
      </c>
      <c r="D46" s="10" t="s">
        <v>313</v>
      </c>
      <c r="E46" s="10" t="s">
        <v>140</v>
      </c>
      <c r="F46" s="10" t="s">
        <v>311</v>
      </c>
      <c r="G46" s="10" t="s">
        <v>314</v>
      </c>
    </row>
    <row r="47" spans="1:7" x14ac:dyDescent="0.25">
      <c r="A47" s="12" t="s">
        <v>315</v>
      </c>
      <c r="B47" s="12"/>
      <c r="C47" s="12" t="s">
        <v>316</v>
      </c>
      <c r="D47" s="12" t="s">
        <v>317</v>
      </c>
      <c r="E47" s="12" t="s">
        <v>140</v>
      </c>
      <c r="F47" s="12"/>
      <c r="G47" s="12" t="s">
        <v>318</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1"/>
  <sheetViews>
    <sheetView zoomScaleNormal="100" workbookViewId="0">
      <pane ySplit="1" topLeftCell="A31" activePane="bottomLeft" state="frozen"/>
      <selection pane="bottomLeft" sqref="A1:H1"/>
    </sheetView>
  </sheetViews>
  <sheetFormatPr defaultColWidth="8.7109375" defaultRowHeight="15" x14ac:dyDescent="0.25"/>
  <cols>
    <col min="1" max="1" width="20.85546875" customWidth="1"/>
    <col min="2" max="2" width="16" customWidth="1"/>
    <col min="3" max="3" width="18" customWidth="1"/>
    <col min="4" max="4" width="42" customWidth="1"/>
    <col min="5" max="5" width="10" customWidth="1"/>
    <col min="6" max="6" width="22" customWidth="1"/>
    <col min="7" max="7" width="30" customWidth="1"/>
    <col min="8" max="8" width="14" customWidth="1"/>
  </cols>
  <sheetData>
    <row r="1" spans="1:8" ht="30" x14ac:dyDescent="0.25">
      <c r="A1" s="11" t="s">
        <v>115</v>
      </c>
      <c r="B1" s="11" t="s">
        <v>116</v>
      </c>
      <c r="C1" s="11" t="s">
        <v>117</v>
      </c>
      <c r="D1" s="11" t="s">
        <v>118</v>
      </c>
      <c r="E1" s="11" t="s">
        <v>119</v>
      </c>
      <c r="F1" s="11" t="s">
        <v>319</v>
      </c>
      <c r="G1" s="11" t="s">
        <v>320</v>
      </c>
      <c r="H1" s="11" t="s">
        <v>321</v>
      </c>
    </row>
    <row r="2" spans="1:8" ht="28.5" x14ac:dyDescent="0.25">
      <c r="A2" s="10" t="s">
        <v>122</v>
      </c>
      <c r="B2" s="10" t="s">
        <v>123</v>
      </c>
      <c r="C2" s="10" t="s">
        <v>124</v>
      </c>
      <c r="D2" s="10" t="s">
        <v>125</v>
      </c>
      <c r="E2" s="10" t="s">
        <v>126</v>
      </c>
      <c r="F2" s="10" t="s">
        <v>322</v>
      </c>
      <c r="G2" s="10" t="s">
        <v>323</v>
      </c>
      <c r="H2" s="13" t="s">
        <v>324</v>
      </c>
    </row>
    <row r="3" spans="1:8" ht="28.5" x14ac:dyDescent="0.25">
      <c r="A3" s="12" t="s">
        <v>129</v>
      </c>
      <c r="B3" s="12" t="s">
        <v>123</v>
      </c>
      <c r="C3" s="12" t="s">
        <v>130</v>
      </c>
      <c r="D3" s="12" t="s">
        <v>131</v>
      </c>
      <c r="E3" s="12" t="s">
        <v>126</v>
      </c>
      <c r="F3" s="12" t="s">
        <v>325</v>
      </c>
      <c r="G3" s="12" t="s">
        <v>326</v>
      </c>
      <c r="H3" s="12" t="s">
        <v>324</v>
      </c>
    </row>
    <row r="4" spans="1:8" ht="28.5" x14ac:dyDescent="0.25">
      <c r="A4" s="10" t="s">
        <v>133</v>
      </c>
      <c r="B4" s="10" t="s">
        <v>123</v>
      </c>
      <c r="C4" s="10" t="s">
        <v>134</v>
      </c>
      <c r="D4" s="10" t="s">
        <v>135</v>
      </c>
      <c r="E4" s="10" t="s">
        <v>126</v>
      </c>
      <c r="F4" s="10" t="s">
        <v>327</v>
      </c>
      <c r="G4" s="10" t="s">
        <v>328</v>
      </c>
      <c r="H4" s="13" t="s">
        <v>324</v>
      </c>
    </row>
    <row r="5" spans="1:8" x14ac:dyDescent="0.25">
      <c r="A5" s="12" t="s">
        <v>137</v>
      </c>
      <c r="B5" s="12" t="s">
        <v>123</v>
      </c>
      <c r="C5" s="12" t="s">
        <v>138</v>
      </c>
      <c r="D5" s="12" t="s">
        <v>139</v>
      </c>
      <c r="E5" s="12" t="s">
        <v>140</v>
      </c>
      <c r="F5" s="12" t="s">
        <v>329</v>
      </c>
      <c r="G5" s="12" t="s">
        <v>330</v>
      </c>
      <c r="H5" s="12" t="s">
        <v>324</v>
      </c>
    </row>
    <row r="6" spans="1:8" x14ac:dyDescent="0.25">
      <c r="A6" s="10" t="s">
        <v>142</v>
      </c>
      <c r="B6" s="10" t="s">
        <v>123</v>
      </c>
      <c r="C6" s="10" t="s">
        <v>143</v>
      </c>
      <c r="D6" s="10" t="s">
        <v>144</v>
      </c>
      <c r="E6" s="10" t="s">
        <v>145</v>
      </c>
      <c r="F6" s="10"/>
      <c r="G6" s="10"/>
      <c r="H6" s="14" t="s">
        <v>331</v>
      </c>
    </row>
    <row r="7" spans="1:8" ht="28.5" x14ac:dyDescent="0.25">
      <c r="A7" s="12" t="s">
        <v>147</v>
      </c>
      <c r="B7" s="12" t="s">
        <v>148</v>
      </c>
      <c r="C7" s="12" t="s">
        <v>149</v>
      </c>
      <c r="D7" s="12" t="s">
        <v>150</v>
      </c>
      <c r="E7" s="12" t="s">
        <v>126</v>
      </c>
      <c r="F7" s="12" t="s">
        <v>332</v>
      </c>
      <c r="G7" s="12" t="s">
        <v>333</v>
      </c>
      <c r="H7" s="12" t="s">
        <v>324</v>
      </c>
    </row>
    <row r="8" spans="1:8" x14ac:dyDescent="0.25">
      <c r="A8" s="10" t="s">
        <v>152</v>
      </c>
      <c r="B8" s="10" t="s">
        <v>148</v>
      </c>
      <c r="C8" s="10" t="s">
        <v>153</v>
      </c>
      <c r="D8" s="10" t="s">
        <v>154</v>
      </c>
      <c r="E8" s="10" t="s">
        <v>126</v>
      </c>
      <c r="F8" s="10" t="s">
        <v>334</v>
      </c>
      <c r="G8" s="10" t="s">
        <v>335</v>
      </c>
      <c r="H8" s="13" t="s">
        <v>324</v>
      </c>
    </row>
    <row r="9" spans="1:8" ht="28.5" x14ac:dyDescent="0.25">
      <c r="A9" s="12" t="s">
        <v>156</v>
      </c>
      <c r="B9" s="12" t="s">
        <v>148</v>
      </c>
      <c r="C9" s="12" t="s">
        <v>157</v>
      </c>
      <c r="D9" s="12" t="s">
        <v>158</v>
      </c>
      <c r="E9" s="12" t="s">
        <v>126</v>
      </c>
      <c r="F9" s="12" t="s">
        <v>336</v>
      </c>
      <c r="G9" s="12" t="s">
        <v>337</v>
      </c>
      <c r="H9" s="12" t="s">
        <v>324</v>
      </c>
    </row>
    <row r="10" spans="1:8" x14ac:dyDescent="0.25">
      <c r="A10" s="10" t="s">
        <v>160</v>
      </c>
      <c r="B10" s="10" t="s">
        <v>148</v>
      </c>
      <c r="C10" s="10" t="s">
        <v>161</v>
      </c>
      <c r="D10" s="10" t="s">
        <v>162</v>
      </c>
      <c r="E10" s="10" t="s">
        <v>126</v>
      </c>
      <c r="F10" s="10" t="s">
        <v>338</v>
      </c>
      <c r="G10" s="10" t="s">
        <v>339</v>
      </c>
      <c r="H10" s="13" t="s">
        <v>324</v>
      </c>
    </row>
    <row r="11" spans="1:8" x14ac:dyDescent="0.25">
      <c r="A11" s="12" t="s">
        <v>164</v>
      </c>
      <c r="B11" s="12" t="s">
        <v>148</v>
      </c>
      <c r="C11" s="12" t="s">
        <v>165</v>
      </c>
      <c r="D11" s="12" t="s">
        <v>166</v>
      </c>
      <c r="E11" s="12" t="s">
        <v>140</v>
      </c>
      <c r="F11" s="12" t="s">
        <v>340</v>
      </c>
      <c r="G11" s="12" t="s">
        <v>341</v>
      </c>
      <c r="H11" s="12" t="s">
        <v>324</v>
      </c>
    </row>
    <row r="12" spans="1:8" x14ac:dyDescent="0.25">
      <c r="A12" s="10" t="s">
        <v>168</v>
      </c>
      <c r="B12" s="10" t="s">
        <v>148</v>
      </c>
      <c r="C12" s="10" t="s">
        <v>169</v>
      </c>
      <c r="D12" s="10" t="s">
        <v>170</v>
      </c>
      <c r="E12" s="10" t="s">
        <v>140</v>
      </c>
      <c r="F12" s="10" t="s">
        <v>342</v>
      </c>
      <c r="G12" s="10" t="s">
        <v>343</v>
      </c>
      <c r="H12" s="13" t="s">
        <v>324</v>
      </c>
    </row>
    <row r="13" spans="1:8" x14ac:dyDescent="0.25">
      <c r="A13" s="12" t="s">
        <v>172</v>
      </c>
      <c r="B13" s="12" t="s">
        <v>148</v>
      </c>
      <c r="C13" s="12" t="s">
        <v>173</v>
      </c>
      <c r="D13" s="12"/>
      <c r="E13" s="12" t="s">
        <v>126</v>
      </c>
      <c r="F13" s="12"/>
      <c r="G13" s="12"/>
      <c r="H13" s="12" t="s">
        <v>331</v>
      </c>
    </row>
    <row r="14" spans="1:8" x14ac:dyDescent="0.25">
      <c r="A14" s="10" t="s">
        <v>175</v>
      </c>
      <c r="B14" s="10" t="s">
        <v>176</v>
      </c>
      <c r="C14" s="10" t="s">
        <v>177</v>
      </c>
      <c r="D14" s="10" t="s">
        <v>178</v>
      </c>
      <c r="E14" s="10" t="s">
        <v>126</v>
      </c>
      <c r="F14" s="10" t="s">
        <v>344</v>
      </c>
      <c r="G14" s="10" t="s">
        <v>345</v>
      </c>
      <c r="H14" s="13" t="s">
        <v>324</v>
      </c>
    </row>
    <row r="15" spans="1:8" x14ac:dyDescent="0.25">
      <c r="A15" s="12" t="s">
        <v>180</v>
      </c>
      <c r="B15" s="12" t="s">
        <v>176</v>
      </c>
      <c r="C15" s="12" t="s">
        <v>181</v>
      </c>
      <c r="D15" s="12" t="s">
        <v>182</v>
      </c>
      <c r="E15" s="12" t="s">
        <v>126</v>
      </c>
      <c r="F15" s="12" t="s">
        <v>346</v>
      </c>
      <c r="G15" s="12" t="s">
        <v>347</v>
      </c>
      <c r="H15" s="12" t="s">
        <v>324</v>
      </c>
    </row>
    <row r="16" spans="1:8" x14ac:dyDescent="0.25">
      <c r="A16" s="10" t="s">
        <v>184</v>
      </c>
      <c r="B16" s="10" t="s">
        <v>176</v>
      </c>
      <c r="C16" s="10" t="s">
        <v>185</v>
      </c>
      <c r="D16" s="10" t="s">
        <v>186</v>
      </c>
      <c r="E16" s="10" t="s">
        <v>126</v>
      </c>
      <c r="F16" s="10" t="s">
        <v>348</v>
      </c>
      <c r="G16" s="10" t="s">
        <v>349</v>
      </c>
      <c r="H16" s="13" t="s">
        <v>324</v>
      </c>
    </row>
    <row r="17" spans="1:8" x14ac:dyDescent="0.25">
      <c r="A17" s="12" t="s">
        <v>188</v>
      </c>
      <c r="B17" s="12" t="s">
        <v>176</v>
      </c>
      <c r="C17" s="12" t="s">
        <v>189</v>
      </c>
      <c r="D17" s="12" t="s">
        <v>190</v>
      </c>
      <c r="E17" s="12" t="s">
        <v>140</v>
      </c>
      <c r="F17" s="12"/>
      <c r="G17" s="12"/>
      <c r="H17" s="12" t="s">
        <v>331</v>
      </c>
    </row>
    <row r="18" spans="1:8" x14ac:dyDescent="0.25">
      <c r="A18" s="10" t="s">
        <v>192</v>
      </c>
      <c r="B18" s="10" t="s">
        <v>176</v>
      </c>
      <c r="C18" s="10" t="s">
        <v>193</v>
      </c>
      <c r="D18" s="10" t="s">
        <v>194</v>
      </c>
      <c r="E18" s="10" t="s">
        <v>126</v>
      </c>
      <c r="F18" s="10" t="s">
        <v>350</v>
      </c>
      <c r="G18" s="10" t="s">
        <v>351</v>
      </c>
      <c r="H18" s="13" t="s">
        <v>324</v>
      </c>
    </row>
    <row r="19" spans="1:8" x14ac:dyDescent="0.25">
      <c r="A19" s="12" t="s">
        <v>196</v>
      </c>
      <c r="B19" s="12" t="s">
        <v>197</v>
      </c>
      <c r="C19" s="12" t="s">
        <v>198</v>
      </c>
      <c r="D19" s="12" t="s">
        <v>199</v>
      </c>
      <c r="E19" s="12" t="s">
        <v>126</v>
      </c>
      <c r="F19" s="12" t="s">
        <v>352</v>
      </c>
      <c r="G19" s="12" t="s">
        <v>353</v>
      </c>
      <c r="H19" s="12" t="s">
        <v>324</v>
      </c>
    </row>
    <row r="20" spans="1:8" x14ac:dyDescent="0.25">
      <c r="A20" s="10" t="s">
        <v>201</v>
      </c>
      <c r="B20" s="10" t="s">
        <v>197</v>
      </c>
      <c r="C20" s="10" t="s">
        <v>202</v>
      </c>
      <c r="D20" s="10" t="s">
        <v>203</v>
      </c>
      <c r="E20" s="10" t="s">
        <v>126</v>
      </c>
      <c r="F20" s="10" t="s">
        <v>354</v>
      </c>
      <c r="G20" s="10" t="s">
        <v>355</v>
      </c>
      <c r="H20" s="13" t="s">
        <v>324</v>
      </c>
    </row>
    <row r="21" spans="1:8" x14ac:dyDescent="0.25">
      <c r="A21" s="12" t="s">
        <v>205</v>
      </c>
      <c r="B21" s="12" t="s">
        <v>197</v>
      </c>
      <c r="C21" s="12" t="s">
        <v>206</v>
      </c>
      <c r="D21" s="12" t="s">
        <v>207</v>
      </c>
      <c r="E21" s="12" t="s">
        <v>126</v>
      </c>
      <c r="F21" s="12" t="s">
        <v>356</v>
      </c>
      <c r="G21" s="12" t="s">
        <v>357</v>
      </c>
      <c r="H21" s="12" t="s">
        <v>324</v>
      </c>
    </row>
    <row r="22" spans="1:8" x14ac:dyDescent="0.25">
      <c r="A22" s="10" t="s">
        <v>209</v>
      </c>
      <c r="B22" s="10" t="s">
        <v>197</v>
      </c>
      <c r="C22" s="10" t="s">
        <v>210</v>
      </c>
      <c r="D22" s="10" t="s">
        <v>211</v>
      </c>
      <c r="E22" s="10" t="s">
        <v>126</v>
      </c>
      <c r="F22" s="10" t="s">
        <v>358</v>
      </c>
      <c r="G22" s="10" t="s">
        <v>359</v>
      </c>
      <c r="H22" s="13" t="s">
        <v>324</v>
      </c>
    </row>
    <row r="23" spans="1:8" x14ac:dyDescent="0.25">
      <c r="A23" s="12" t="s">
        <v>213</v>
      </c>
      <c r="B23" s="12" t="s">
        <v>197</v>
      </c>
      <c r="C23" s="12" t="s">
        <v>214</v>
      </c>
      <c r="D23" s="12" t="s">
        <v>215</v>
      </c>
      <c r="E23" s="12" t="s">
        <v>126</v>
      </c>
      <c r="F23" s="12" t="s">
        <v>360</v>
      </c>
      <c r="G23" s="12" t="s">
        <v>361</v>
      </c>
      <c r="H23" s="12" t="s">
        <v>324</v>
      </c>
    </row>
    <row r="24" spans="1:8" x14ac:dyDescent="0.25">
      <c r="A24" s="10" t="s">
        <v>217</v>
      </c>
      <c r="B24" s="10" t="s">
        <v>197</v>
      </c>
      <c r="C24" s="10" t="s">
        <v>218</v>
      </c>
      <c r="D24" s="10" t="s">
        <v>219</v>
      </c>
      <c r="E24" s="10" t="s">
        <v>126</v>
      </c>
      <c r="F24" s="10" t="s">
        <v>362</v>
      </c>
      <c r="G24" s="10" t="s">
        <v>363</v>
      </c>
      <c r="H24" s="13" t="s">
        <v>324</v>
      </c>
    </row>
    <row r="25" spans="1:8" x14ac:dyDescent="0.25">
      <c r="A25" s="12" t="s">
        <v>221</v>
      </c>
      <c r="B25" s="12" t="s">
        <v>222</v>
      </c>
      <c r="C25" s="12" t="s">
        <v>223</v>
      </c>
      <c r="D25" s="12" t="s">
        <v>224</v>
      </c>
      <c r="E25" s="12" t="s">
        <v>126</v>
      </c>
      <c r="F25" s="12" t="s">
        <v>364</v>
      </c>
      <c r="G25" s="12" t="s">
        <v>365</v>
      </c>
      <c r="H25" s="12" t="s">
        <v>324</v>
      </c>
    </row>
    <row r="26" spans="1:8" x14ac:dyDescent="0.25">
      <c r="A26" s="10" t="s">
        <v>226</v>
      </c>
      <c r="B26" s="10" t="s">
        <v>222</v>
      </c>
      <c r="C26" s="10" t="s">
        <v>227</v>
      </c>
      <c r="D26" s="10" t="s">
        <v>228</v>
      </c>
      <c r="E26" s="10" t="s">
        <v>126</v>
      </c>
      <c r="F26" s="10" t="s">
        <v>366</v>
      </c>
      <c r="G26" s="10" t="s">
        <v>367</v>
      </c>
      <c r="H26" s="13" t="s">
        <v>324</v>
      </c>
    </row>
    <row r="27" spans="1:8" x14ac:dyDescent="0.25">
      <c r="A27" s="12" t="s">
        <v>230</v>
      </c>
      <c r="B27" s="12" t="s">
        <v>222</v>
      </c>
      <c r="C27" s="12" t="s">
        <v>231</v>
      </c>
      <c r="D27" s="12" t="s">
        <v>232</v>
      </c>
      <c r="E27" s="12" t="s">
        <v>140</v>
      </c>
      <c r="F27" s="12" t="s">
        <v>368</v>
      </c>
      <c r="G27" s="12" t="s">
        <v>369</v>
      </c>
      <c r="H27" s="12" t="s">
        <v>324</v>
      </c>
    </row>
    <row r="28" spans="1:8" x14ac:dyDescent="0.25">
      <c r="A28" s="10" t="s">
        <v>234</v>
      </c>
      <c r="B28" s="10" t="s">
        <v>222</v>
      </c>
      <c r="C28" s="10" t="s">
        <v>235</v>
      </c>
      <c r="D28" s="10" t="s">
        <v>236</v>
      </c>
      <c r="E28" s="10" t="s">
        <v>126</v>
      </c>
      <c r="F28" s="10" t="s">
        <v>370</v>
      </c>
      <c r="G28" s="10" t="s">
        <v>371</v>
      </c>
      <c r="H28" s="13" t="s">
        <v>324</v>
      </c>
    </row>
    <row r="29" spans="1:8" x14ac:dyDescent="0.25">
      <c r="A29" s="12" t="s">
        <v>238</v>
      </c>
      <c r="B29" s="12" t="s">
        <v>222</v>
      </c>
      <c r="C29" s="12" t="s">
        <v>239</v>
      </c>
      <c r="D29" s="12" t="s">
        <v>240</v>
      </c>
      <c r="E29" s="12" t="s">
        <v>140</v>
      </c>
      <c r="F29" s="12" t="s">
        <v>372</v>
      </c>
      <c r="G29" s="12" t="s">
        <v>373</v>
      </c>
      <c r="H29" s="12" t="s">
        <v>324</v>
      </c>
    </row>
    <row r="30" spans="1:8" ht="28.5" x14ac:dyDescent="0.25">
      <c r="A30" s="10" t="s">
        <v>242</v>
      </c>
      <c r="B30" s="10" t="s">
        <v>243</v>
      </c>
      <c r="C30" s="10" t="s">
        <v>244</v>
      </c>
      <c r="D30" s="10" t="s">
        <v>245</v>
      </c>
      <c r="E30" s="10" t="s">
        <v>126</v>
      </c>
      <c r="F30" s="10" t="s">
        <v>374</v>
      </c>
      <c r="G30" s="10" t="s">
        <v>375</v>
      </c>
      <c r="H30" s="13" t="s">
        <v>324</v>
      </c>
    </row>
    <row r="31" spans="1:8" ht="28.5" x14ac:dyDescent="0.25">
      <c r="A31" s="12" t="s">
        <v>247</v>
      </c>
      <c r="B31" s="12" t="s">
        <v>243</v>
      </c>
      <c r="C31" s="12" t="s">
        <v>248</v>
      </c>
      <c r="D31" s="12" t="s">
        <v>249</v>
      </c>
      <c r="E31" s="12" t="s">
        <v>126</v>
      </c>
      <c r="F31" s="12" t="s">
        <v>376</v>
      </c>
      <c r="G31" s="12" t="s">
        <v>377</v>
      </c>
      <c r="H31" s="12" t="s">
        <v>324</v>
      </c>
    </row>
    <row r="32" spans="1:8" x14ac:dyDescent="0.25">
      <c r="A32" s="10" t="s">
        <v>251</v>
      </c>
      <c r="B32" s="10" t="s">
        <v>243</v>
      </c>
      <c r="C32" s="10" t="s">
        <v>252</v>
      </c>
      <c r="D32" s="10" t="s">
        <v>253</v>
      </c>
      <c r="E32" s="10" t="s">
        <v>140</v>
      </c>
      <c r="F32" s="10" t="s">
        <v>378</v>
      </c>
      <c r="G32" s="10" t="s">
        <v>379</v>
      </c>
      <c r="H32" s="13" t="s">
        <v>324</v>
      </c>
    </row>
    <row r="33" spans="1:8" x14ac:dyDescent="0.25">
      <c r="A33" s="12" t="s">
        <v>255</v>
      </c>
      <c r="B33" s="12" t="s">
        <v>243</v>
      </c>
      <c r="C33" s="12" t="s">
        <v>256</v>
      </c>
      <c r="D33" s="12" t="s">
        <v>257</v>
      </c>
      <c r="E33" s="12" t="s">
        <v>140</v>
      </c>
      <c r="F33" s="12" t="s">
        <v>380</v>
      </c>
      <c r="G33" s="12" t="s">
        <v>381</v>
      </c>
      <c r="H33" s="12" t="s">
        <v>324</v>
      </c>
    </row>
    <row r="34" spans="1:8" ht="28.5" x14ac:dyDescent="0.25">
      <c r="A34" s="10" t="s">
        <v>259</v>
      </c>
      <c r="B34" s="10" t="s">
        <v>243</v>
      </c>
      <c r="C34" s="10" t="s">
        <v>260</v>
      </c>
      <c r="D34" s="10" t="s">
        <v>261</v>
      </c>
      <c r="E34" s="10" t="s">
        <v>126</v>
      </c>
      <c r="F34" s="10" t="s">
        <v>382</v>
      </c>
      <c r="G34" s="10" t="s">
        <v>383</v>
      </c>
      <c r="H34" s="13" t="s">
        <v>324</v>
      </c>
    </row>
    <row r="35" spans="1:8" ht="28.5" x14ac:dyDescent="0.25">
      <c r="A35" s="12" t="s">
        <v>263</v>
      </c>
      <c r="B35" s="12" t="s">
        <v>243</v>
      </c>
      <c r="C35" s="12" t="s">
        <v>264</v>
      </c>
      <c r="D35" s="12" t="s">
        <v>265</v>
      </c>
      <c r="E35" s="12" t="s">
        <v>140</v>
      </c>
      <c r="F35" s="12" t="s">
        <v>384</v>
      </c>
      <c r="G35" s="12" t="s">
        <v>385</v>
      </c>
      <c r="H35" s="12" t="s">
        <v>324</v>
      </c>
    </row>
    <row r="36" spans="1:8" ht="28.5" x14ac:dyDescent="0.25">
      <c r="A36" s="10" t="s">
        <v>267</v>
      </c>
      <c r="B36" s="10" t="s">
        <v>268</v>
      </c>
      <c r="C36" s="10" t="s">
        <v>269</v>
      </c>
      <c r="D36" s="10" t="s">
        <v>270</v>
      </c>
      <c r="E36" s="10" t="s">
        <v>140</v>
      </c>
      <c r="F36" s="10" t="s">
        <v>386</v>
      </c>
      <c r="G36" s="10" t="s">
        <v>387</v>
      </c>
      <c r="H36" s="13" t="s">
        <v>324</v>
      </c>
    </row>
    <row r="37" spans="1:8" ht="28.5" x14ac:dyDescent="0.25">
      <c r="A37" s="12" t="s">
        <v>272</v>
      </c>
      <c r="B37" s="12" t="s">
        <v>268</v>
      </c>
      <c r="C37" s="12" t="s">
        <v>273</v>
      </c>
      <c r="D37" s="12" t="s">
        <v>274</v>
      </c>
      <c r="E37" s="12" t="s">
        <v>140</v>
      </c>
      <c r="F37" s="12" t="s">
        <v>388</v>
      </c>
      <c r="G37" s="12" t="s">
        <v>389</v>
      </c>
      <c r="H37" s="12" t="s">
        <v>324</v>
      </c>
    </row>
    <row r="38" spans="1:8" ht="28.5" x14ac:dyDescent="0.25">
      <c r="A38" s="10" t="s">
        <v>276</v>
      </c>
      <c r="B38" s="10" t="s">
        <v>268</v>
      </c>
      <c r="C38" s="10" t="s">
        <v>277</v>
      </c>
      <c r="D38" s="10" t="s">
        <v>278</v>
      </c>
      <c r="E38" s="10" t="s">
        <v>140</v>
      </c>
      <c r="F38" s="10" t="s">
        <v>390</v>
      </c>
      <c r="G38" s="10" t="s">
        <v>391</v>
      </c>
      <c r="H38" s="13" t="s">
        <v>324</v>
      </c>
    </row>
    <row r="39" spans="1:8" ht="28.5" x14ac:dyDescent="0.25">
      <c r="A39" s="12" t="s">
        <v>280</v>
      </c>
      <c r="B39" s="12" t="s">
        <v>281</v>
      </c>
      <c r="C39" s="12" t="s">
        <v>282</v>
      </c>
      <c r="D39" s="12" t="s">
        <v>283</v>
      </c>
      <c r="E39" s="12" t="s">
        <v>126</v>
      </c>
      <c r="F39" s="12" t="s">
        <v>392</v>
      </c>
      <c r="G39" s="12" t="s">
        <v>393</v>
      </c>
      <c r="H39" s="12" t="s">
        <v>324</v>
      </c>
    </row>
    <row r="40" spans="1:8" x14ac:dyDescent="0.25">
      <c r="A40" s="10" t="s">
        <v>285</v>
      </c>
      <c r="B40" s="10" t="s">
        <v>281</v>
      </c>
      <c r="C40" s="10" t="s">
        <v>286</v>
      </c>
      <c r="D40" s="10" t="s">
        <v>287</v>
      </c>
      <c r="E40" s="10" t="s">
        <v>126</v>
      </c>
      <c r="F40" s="10" t="s">
        <v>394</v>
      </c>
      <c r="G40" s="10" t="s">
        <v>395</v>
      </c>
      <c r="H40" s="13" t="s">
        <v>324</v>
      </c>
    </row>
    <row r="41" spans="1:8" x14ac:dyDescent="0.25">
      <c r="A41" s="12" t="s">
        <v>289</v>
      </c>
      <c r="B41" s="12" t="s">
        <v>281</v>
      </c>
      <c r="C41" s="12" t="s">
        <v>290</v>
      </c>
      <c r="D41" s="12" t="s">
        <v>291</v>
      </c>
      <c r="E41" s="12" t="s">
        <v>126</v>
      </c>
      <c r="F41" s="12" t="s">
        <v>396</v>
      </c>
      <c r="G41" s="12" t="s">
        <v>397</v>
      </c>
      <c r="H41" s="12" t="s">
        <v>324</v>
      </c>
    </row>
    <row r="42" spans="1:8" x14ac:dyDescent="0.25">
      <c r="A42" s="10" t="s">
        <v>293</v>
      </c>
      <c r="B42" s="10" t="s">
        <v>281</v>
      </c>
      <c r="C42" s="10" t="s">
        <v>294</v>
      </c>
      <c r="D42" s="10" t="s">
        <v>295</v>
      </c>
      <c r="E42" s="10" t="s">
        <v>126</v>
      </c>
      <c r="F42" s="10" t="s">
        <v>398</v>
      </c>
      <c r="G42" s="10" t="s">
        <v>399</v>
      </c>
      <c r="H42" s="13" t="s">
        <v>324</v>
      </c>
    </row>
    <row r="43" spans="1:8" x14ac:dyDescent="0.25">
      <c r="A43" s="12" t="s">
        <v>297</v>
      </c>
      <c r="B43" s="12" t="s">
        <v>298</v>
      </c>
      <c r="C43" s="12" t="s">
        <v>299</v>
      </c>
      <c r="D43" s="12" t="s">
        <v>300</v>
      </c>
      <c r="E43" s="12" t="s">
        <v>126</v>
      </c>
      <c r="F43" s="12" t="s">
        <v>400</v>
      </c>
      <c r="G43" s="12" t="s">
        <v>401</v>
      </c>
      <c r="H43" s="12" t="s">
        <v>324</v>
      </c>
    </row>
    <row r="44" spans="1:8" ht="28.5" x14ac:dyDescent="0.25">
      <c r="A44" s="10" t="s">
        <v>302</v>
      </c>
      <c r="B44" s="10" t="s">
        <v>298</v>
      </c>
      <c r="C44" s="10" t="s">
        <v>303</v>
      </c>
      <c r="D44" s="10" t="s">
        <v>304</v>
      </c>
      <c r="E44" s="10" t="s">
        <v>126</v>
      </c>
      <c r="F44" s="10" t="s">
        <v>402</v>
      </c>
      <c r="G44" s="10" t="s">
        <v>403</v>
      </c>
      <c r="H44" s="13" t="s">
        <v>324</v>
      </c>
    </row>
    <row r="45" spans="1:8" x14ac:dyDescent="0.25">
      <c r="A45" s="12" t="s">
        <v>306</v>
      </c>
      <c r="B45" s="12" t="s">
        <v>298</v>
      </c>
      <c r="C45" s="12" t="s">
        <v>307</v>
      </c>
      <c r="D45" s="12" t="s">
        <v>308</v>
      </c>
      <c r="E45" s="12" t="s">
        <v>140</v>
      </c>
      <c r="F45" s="12"/>
      <c r="G45" s="12"/>
      <c r="H45" s="12" t="s">
        <v>331</v>
      </c>
    </row>
    <row r="46" spans="1:8" x14ac:dyDescent="0.25">
      <c r="A46" s="10" t="s">
        <v>310</v>
      </c>
      <c r="B46" s="10" t="s">
        <v>311</v>
      </c>
      <c r="C46" s="10" t="s">
        <v>312</v>
      </c>
      <c r="D46" s="10" t="s">
        <v>313</v>
      </c>
      <c r="E46" s="10" t="s">
        <v>140</v>
      </c>
      <c r="F46" s="10" t="s">
        <v>404</v>
      </c>
      <c r="G46" s="10" t="s">
        <v>405</v>
      </c>
      <c r="H46" s="13" t="s">
        <v>324</v>
      </c>
    </row>
    <row r="47" spans="1:8" x14ac:dyDescent="0.25">
      <c r="A47" s="12" t="s">
        <v>315</v>
      </c>
      <c r="B47" s="12" t="s">
        <v>311</v>
      </c>
      <c r="C47" s="12" t="s">
        <v>316</v>
      </c>
      <c r="D47" s="12" t="s">
        <v>317</v>
      </c>
      <c r="E47" s="12" t="s">
        <v>140</v>
      </c>
      <c r="F47" s="12"/>
      <c r="G47" s="12"/>
      <c r="H47" s="12" t="s">
        <v>331</v>
      </c>
    </row>
    <row r="49" spans="1:2" x14ac:dyDescent="0.25">
      <c r="A49" s="6" t="s">
        <v>406</v>
      </c>
      <c r="B49">
        <f>COUNTA(A2:A47)</f>
        <v>46</v>
      </c>
    </row>
    <row r="50" spans="1:2" x14ac:dyDescent="0.25">
      <c r="A50" s="6" t="s">
        <v>407</v>
      </c>
      <c r="B50">
        <f>COUNTIF(H2:H47,"Covered")</f>
        <v>41</v>
      </c>
    </row>
    <row r="51" spans="1:2" x14ac:dyDescent="0.25">
      <c r="A51" s="6" t="s">
        <v>408</v>
      </c>
      <c r="B51" s="15">
        <f>B50/B49</f>
        <v>0.89130434782608692</v>
      </c>
    </row>
  </sheetData>
  <autoFilter ref="A1:H1" xr:uid="{00000000-0001-0000-0300-000000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3"/>
  <sheetViews>
    <sheetView zoomScaleNormal="100" workbookViewId="0">
      <pane ySplit="1" topLeftCell="A2" activePane="bottomLeft" state="frozen"/>
      <selection pane="bottomLeft"/>
    </sheetView>
  </sheetViews>
  <sheetFormatPr defaultColWidth="8.7109375" defaultRowHeight="15" x14ac:dyDescent="0.25"/>
  <cols>
    <col min="1" max="1" width="5" customWidth="1"/>
    <col min="2" max="2" width="22" customWidth="1"/>
    <col min="3" max="3" width="42" customWidth="1"/>
    <col min="4" max="5" width="12" customWidth="1"/>
    <col min="6" max="6" width="10" customWidth="1"/>
  </cols>
  <sheetData>
    <row r="1" spans="1:6" x14ac:dyDescent="0.25">
      <c r="A1" s="11" t="s">
        <v>409</v>
      </c>
      <c r="B1" s="11" t="s">
        <v>116</v>
      </c>
      <c r="C1" s="11" t="s">
        <v>410</v>
      </c>
      <c r="D1" s="11" t="s">
        <v>411</v>
      </c>
      <c r="E1" s="11" t="s">
        <v>412</v>
      </c>
      <c r="F1" s="11" t="s">
        <v>119</v>
      </c>
    </row>
    <row r="2" spans="1:6" x14ac:dyDescent="0.25">
      <c r="A2" s="10">
        <v>1</v>
      </c>
      <c r="B2" s="10" t="s">
        <v>123</v>
      </c>
      <c r="C2" s="10" t="s">
        <v>413</v>
      </c>
      <c r="D2" s="10">
        <v>5</v>
      </c>
      <c r="E2" s="10">
        <v>16</v>
      </c>
      <c r="F2" s="10" t="s">
        <v>126</v>
      </c>
    </row>
    <row r="3" spans="1:6" x14ac:dyDescent="0.25">
      <c r="A3" s="12">
        <v>2</v>
      </c>
      <c r="B3" s="12" t="s">
        <v>414</v>
      </c>
      <c r="C3" s="12" t="s">
        <v>415</v>
      </c>
      <c r="D3" s="12">
        <v>6</v>
      </c>
      <c r="E3" s="12">
        <v>18</v>
      </c>
      <c r="F3" s="12" t="s">
        <v>126</v>
      </c>
    </row>
    <row r="4" spans="1:6" x14ac:dyDescent="0.25">
      <c r="A4" s="10">
        <v>3</v>
      </c>
      <c r="B4" s="10" t="s">
        <v>416</v>
      </c>
      <c r="C4" s="10" t="s">
        <v>417</v>
      </c>
      <c r="D4" s="10">
        <v>4</v>
      </c>
      <c r="E4" s="10">
        <v>12</v>
      </c>
      <c r="F4" s="10" t="s">
        <v>126</v>
      </c>
    </row>
    <row r="5" spans="1:6" ht="28.5" x14ac:dyDescent="0.25">
      <c r="A5" s="12">
        <v>4</v>
      </c>
      <c r="B5" s="12" t="s">
        <v>197</v>
      </c>
      <c r="C5" s="12" t="s">
        <v>418</v>
      </c>
      <c r="D5" s="12">
        <v>6</v>
      </c>
      <c r="E5" s="12">
        <v>16</v>
      </c>
      <c r="F5" s="12" t="s">
        <v>126</v>
      </c>
    </row>
    <row r="6" spans="1:6" x14ac:dyDescent="0.25">
      <c r="A6" s="10">
        <v>5</v>
      </c>
      <c r="B6" s="10" t="s">
        <v>419</v>
      </c>
      <c r="C6" s="10" t="s">
        <v>420</v>
      </c>
      <c r="D6" s="10">
        <v>5</v>
      </c>
      <c r="E6" s="10">
        <v>14</v>
      </c>
      <c r="F6" s="10" t="s">
        <v>126</v>
      </c>
    </row>
    <row r="7" spans="1:6" x14ac:dyDescent="0.25">
      <c r="A7" s="12">
        <v>6</v>
      </c>
      <c r="B7" s="12" t="s">
        <v>421</v>
      </c>
      <c r="C7" s="12" t="s">
        <v>422</v>
      </c>
      <c r="D7" s="12">
        <v>6</v>
      </c>
      <c r="E7" s="12">
        <v>18</v>
      </c>
      <c r="F7" s="12" t="s">
        <v>126</v>
      </c>
    </row>
    <row r="8" spans="1:6" x14ac:dyDescent="0.25">
      <c r="A8" s="10">
        <v>7</v>
      </c>
      <c r="B8" s="10" t="s">
        <v>423</v>
      </c>
      <c r="C8" s="10" t="s">
        <v>424</v>
      </c>
      <c r="D8" s="10">
        <v>4</v>
      </c>
      <c r="E8" s="10">
        <v>12</v>
      </c>
      <c r="F8" s="10" t="s">
        <v>126</v>
      </c>
    </row>
    <row r="9" spans="1:6" x14ac:dyDescent="0.25">
      <c r="A9" s="12">
        <v>8</v>
      </c>
      <c r="B9" s="12" t="s">
        <v>268</v>
      </c>
      <c r="C9" s="12" t="s">
        <v>425</v>
      </c>
      <c r="D9" s="12">
        <v>3</v>
      </c>
      <c r="E9" s="12">
        <v>10</v>
      </c>
      <c r="F9" s="12" t="s">
        <v>140</v>
      </c>
    </row>
    <row r="10" spans="1:6" x14ac:dyDescent="0.25">
      <c r="A10" s="10">
        <v>9</v>
      </c>
      <c r="B10" s="10" t="s">
        <v>426</v>
      </c>
      <c r="C10" s="10" t="s">
        <v>427</v>
      </c>
      <c r="D10" s="10">
        <v>4</v>
      </c>
      <c r="E10" s="10">
        <v>12</v>
      </c>
      <c r="F10" s="10" t="s">
        <v>140</v>
      </c>
    </row>
    <row r="11" spans="1:6" x14ac:dyDescent="0.25">
      <c r="A11" s="12">
        <v>10</v>
      </c>
      <c r="B11" s="12" t="s">
        <v>428</v>
      </c>
      <c r="C11" s="12" t="s">
        <v>429</v>
      </c>
      <c r="D11" s="12">
        <v>2</v>
      </c>
      <c r="E11" s="12">
        <v>10</v>
      </c>
      <c r="F11" s="12" t="s">
        <v>140</v>
      </c>
    </row>
    <row r="12" spans="1:6" x14ac:dyDescent="0.25">
      <c r="A12" s="10">
        <v>11</v>
      </c>
      <c r="B12" s="10" t="s">
        <v>311</v>
      </c>
      <c r="C12" s="10" t="s">
        <v>430</v>
      </c>
      <c r="D12" s="10">
        <v>1</v>
      </c>
      <c r="E12" s="10">
        <v>7</v>
      </c>
      <c r="F12" s="10" t="s">
        <v>145</v>
      </c>
    </row>
    <row r="13" spans="1:6" x14ac:dyDescent="0.25">
      <c r="A13" s="12"/>
      <c r="B13" s="12" t="s">
        <v>431</v>
      </c>
      <c r="C13" s="12"/>
      <c r="D13" s="12">
        <v>46</v>
      </c>
      <c r="E13" s="12">
        <v>145</v>
      </c>
      <c r="F13" s="12"/>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8"/>
  <sheetViews>
    <sheetView zoomScaleNormal="100" workbookViewId="0">
      <pane ySplit="1" topLeftCell="A51" activePane="bottomLeft" state="frozen"/>
      <selection pane="bottomLeft" activeCell="A57" sqref="A57:H57"/>
    </sheetView>
  </sheetViews>
  <sheetFormatPr defaultColWidth="8.7109375" defaultRowHeight="15" x14ac:dyDescent="0.25"/>
  <cols>
    <col min="1" max="1" width="14" customWidth="1"/>
    <col min="2" max="2" width="16" customWidth="1"/>
    <col min="3" max="3" width="18" customWidth="1"/>
    <col min="4" max="4" width="36" customWidth="1"/>
    <col min="5" max="5" width="42" customWidth="1"/>
    <col min="6" max="6" width="9" customWidth="1"/>
    <col min="7" max="7" width="28" customWidth="1"/>
    <col min="8" max="8" width="22" customWidth="1"/>
  </cols>
  <sheetData>
    <row r="1" spans="1:8" x14ac:dyDescent="0.25">
      <c r="A1" s="11" t="s">
        <v>432</v>
      </c>
      <c r="B1" s="11" t="s">
        <v>116</v>
      </c>
      <c r="C1" s="11" t="s">
        <v>117</v>
      </c>
      <c r="D1" s="11" t="s">
        <v>433</v>
      </c>
      <c r="E1" s="11" t="s">
        <v>434</v>
      </c>
      <c r="F1" s="11" t="s">
        <v>119</v>
      </c>
      <c r="G1" s="11" t="s">
        <v>435</v>
      </c>
      <c r="H1" s="11" t="s">
        <v>121</v>
      </c>
    </row>
    <row r="2" spans="1:8" x14ac:dyDescent="0.25">
      <c r="A2" s="2" t="s">
        <v>436</v>
      </c>
      <c r="B2" s="2"/>
      <c r="C2" s="2"/>
      <c r="D2" s="2"/>
      <c r="E2" s="2"/>
      <c r="F2" s="2"/>
      <c r="G2" s="2"/>
      <c r="H2" s="2"/>
    </row>
    <row r="3" spans="1:8" ht="28.5" x14ac:dyDescent="0.25">
      <c r="A3" s="10" t="s">
        <v>322</v>
      </c>
      <c r="B3" s="10" t="s">
        <v>123</v>
      </c>
      <c r="C3" s="10" t="s">
        <v>124</v>
      </c>
      <c r="D3" s="10" t="s">
        <v>437</v>
      </c>
      <c r="E3" s="10" t="s">
        <v>438</v>
      </c>
      <c r="F3" s="10" t="s">
        <v>126</v>
      </c>
      <c r="G3" s="10" t="s">
        <v>323</v>
      </c>
      <c r="H3" s="10" t="s">
        <v>439</v>
      </c>
    </row>
    <row r="4" spans="1:8" ht="28.5" x14ac:dyDescent="0.25">
      <c r="A4" s="10" t="s">
        <v>325</v>
      </c>
      <c r="B4" s="10" t="s">
        <v>123</v>
      </c>
      <c r="C4" s="10" t="s">
        <v>130</v>
      </c>
      <c r="D4" s="10" t="s">
        <v>440</v>
      </c>
      <c r="E4" s="10" t="s">
        <v>441</v>
      </c>
      <c r="F4" s="10" t="s">
        <v>126</v>
      </c>
      <c r="G4" s="10" t="s">
        <v>326</v>
      </c>
      <c r="H4" s="10"/>
    </row>
    <row r="5" spans="1:8" ht="28.5" x14ac:dyDescent="0.25">
      <c r="A5" s="10" t="s">
        <v>327</v>
      </c>
      <c r="B5" s="10" t="s">
        <v>123</v>
      </c>
      <c r="C5" s="10" t="s">
        <v>134</v>
      </c>
      <c r="D5" s="10" t="s">
        <v>442</v>
      </c>
      <c r="E5" s="10" t="s">
        <v>443</v>
      </c>
      <c r="F5" s="10" t="s">
        <v>126</v>
      </c>
      <c r="G5" s="10" t="s">
        <v>328</v>
      </c>
      <c r="H5" s="10"/>
    </row>
    <row r="6" spans="1:8" ht="28.5" x14ac:dyDescent="0.25">
      <c r="A6" s="10" t="s">
        <v>329</v>
      </c>
      <c r="B6" s="10" t="s">
        <v>123</v>
      </c>
      <c r="C6" s="10" t="s">
        <v>138</v>
      </c>
      <c r="D6" s="10" t="s">
        <v>444</v>
      </c>
      <c r="E6" s="10" t="s">
        <v>445</v>
      </c>
      <c r="F6" s="10" t="s">
        <v>140</v>
      </c>
      <c r="G6" s="10" t="s">
        <v>330</v>
      </c>
      <c r="H6" s="10"/>
    </row>
    <row r="7" spans="1:8" ht="28.5" x14ac:dyDescent="0.25">
      <c r="A7" s="10" t="s">
        <v>446</v>
      </c>
      <c r="B7" s="10" t="s">
        <v>123</v>
      </c>
      <c r="C7" s="10" t="s">
        <v>447</v>
      </c>
      <c r="D7" s="10" t="s">
        <v>448</v>
      </c>
      <c r="E7" s="10" t="s">
        <v>449</v>
      </c>
      <c r="F7" s="10" t="s">
        <v>126</v>
      </c>
      <c r="G7" s="10" t="s">
        <v>450</v>
      </c>
      <c r="H7" s="10" t="s">
        <v>451</v>
      </c>
    </row>
    <row r="8" spans="1:8" x14ac:dyDescent="0.25">
      <c r="A8" s="2" t="s">
        <v>452</v>
      </c>
      <c r="B8" s="2"/>
      <c r="C8" s="2"/>
      <c r="D8" s="2"/>
      <c r="E8" s="2"/>
      <c r="F8" s="2"/>
      <c r="G8" s="2"/>
      <c r="H8" s="2"/>
    </row>
    <row r="9" spans="1:8" ht="28.5" x14ac:dyDescent="0.25">
      <c r="A9" s="10" t="s">
        <v>332</v>
      </c>
      <c r="B9" s="10" t="s">
        <v>414</v>
      </c>
      <c r="C9" s="10" t="s">
        <v>149</v>
      </c>
      <c r="D9" s="10" t="s">
        <v>453</v>
      </c>
      <c r="E9" s="10" t="s">
        <v>454</v>
      </c>
      <c r="F9" s="10" t="s">
        <v>126</v>
      </c>
      <c r="G9" s="10" t="s">
        <v>333</v>
      </c>
      <c r="H9" s="10"/>
    </row>
    <row r="10" spans="1:8" ht="28.5" x14ac:dyDescent="0.25">
      <c r="A10" s="10" t="s">
        <v>334</v>
      </c>
      <c r="B10" s="10" t="s">
        <v>414</v>
      </c>
      <c r="C10" s="10" t="s">
        <v>153</v>
      </c>
      <c r="D10" s="10" t="s">
        <v>455</v>
      </c>
      <c r="E10" s="10" t="s">
        <v>456</v>
      </c>
      <c r="F10" s="10" t="s">
        <v>126</v>
      </c>
      <c r="G10" s="10" t="s">
        <v>335</v>
      </c>
      <c r="H10" s="10"/>
    </row>
    <row r="11" spans="1:8" ht="28.5" x14ac:dyDescent="0.25">
      <c r="A11" s="10" t="s">
        <v>336</v>
      </c>
      <c r="B11" s="10" t="s">
        <v>414</v>
      </c>
      <c r="C11" s="10" t="s">
        <v>157</v>
      </c>
      <c r="D11" s="10" t="s">
        <v>457</v>
      </c>
      <c r="E11" s="10" t="s">
        <v>458</v>
      </c>
      <c r="F11" s="10" t="s">
        <v>126</v>
      </c>
      <c r="G11" s="10" t="s">
        <v>337</v>
      </c>
      <c r="H11" s="10"/>
    </row>
    <row r="12" spans="1:8" ht="28.5" x14ac:dyDescent="0.25">
      <c r="A12" s="10" t="s">
        <v>340</v>
      </c>
      <c r="B12" s="10" t="s">
        <v>414</v>
      </c>
      <c r="C12" s="10" t="s">
        <v>459</v>
      </c>
      <c r="D12" s="10" t="s">
        <v>460</v>
      </c>
      <c r="E12" s="10" t="s">
        <v>461</v>
      </c>
      <c r="F12" s="10" t="s">
        <v>140</v>
      </c>
      <c r="G12" s="10" t="s">
        <v>341</v>
      </c>
      <c r="H12" s="10"/>
    </row>
    <row r="13" spans="1:8" ht="28.5" x14ac:dyDescent="0.25">
      <c r="A13" s="10" t="s">
        <v>338</v>
      </c>
      <c r="B13" s="10" t="s">
        <v>414</v>
      </c>
      <c r="C13" s="10" t="s">
        <v>161</v>
      </c>
      <c r="D13" s="10" t="s">
        <v>462</v>
      </c>
      <c r="E13" s="10" t="s">
        <v>463</v>
      </c>
      <c r="F13" s="10" t="s">
        <v>126</v>
      </c>
      <c r="G13" s="10" t="s">
        <v>339</v>
      </c>
      <c r="H13" s="10"/>
    </row>
    <row r="14" spans="1:8" ht="28.5" x14ac:dyDescent="0.25">
      <c r="A14" s="10" t="s">
        <v>342</v>
      </c>
      <c r="B14" s="10" t="s">
        <v>414</v>
      </c>
      <c r="C14" s="10" t="s">
        <v>169</v>
      </c>
      <c r="D14" s="10" t="s">
        <v>464</v>
      </c>
      <c r="E14" s="10" t="s">
        <v>465</v>
      </c>
      <c r="F14" s="10" t="s">
        <v>140</v>
      </c>
      <c r="G14" s="10" t="s">
        <v>343</v>
      </c>
      <c r="H14" s="10"/>
    </row>
    <row r="15" spans="1:8" x14ac:dyDescent="0.25">
      <c r="A15" s="2" t="s">
        <v>466</v>
      </c>
      <c r="B15" s="2"/>
      <c r="C15" s="2"/>
      <c r="D15" s="2"/>
      <c r="E15" s="2"/>
      <c r="F15" s="2"/>
      <c r="G15" s="2"/>
      <c r="H15" s="2"/>
    </row>
    <row r="16" spans="1:8" x14ac:dyDescent="0.25">
      <c r="A16" s="10" t="s">
        <v>344</v>
      </c>
      <c r="B16" s="10" t="s">
        <v>416</v>
      </c>
      <c r="C16" s="10" t="s">
        <v>177</v>
      </c>
      <c r="D16" s="10" t="s">
        <v>467</v>
      </c>
      <c r="E16" s="10" t="s">
        <v>468</v>
      </c>
      <c r="F16" s="10" t="s">
        <v>126</v>
      </c>
      <c r="G16" s="10" t="s">
        <v>345</v>
      </c>
      <c r="H16" s="10"/>
    </row>
    <row r="17" spans="1:8" ht="28.5" x14ac:dyDescent="0.25">
      <c r="A17" s="10" t="s">
        <v>346</v>
      </c>
      <c r="B17" s="10" t="s">
        <v>416</v>
      </c>
      <c r="C17" s="10" t="s">
        <v>181</v>
      </c>
      <c r="D17" s="10" t="s">
        <v>469</v>
      </c>
      <c r="E17" s="10" t="s">
        <v>470</v>
      </c>
      <c r="F17" s="10" t="s">
        <v>126</v>
      </c>
      <c r="G17" s="10" t="s">
        <v>347</v>
      </c>
      <c r="H17" s="10"/>
    </row>
    <row r="18" spans="1:8" ht="28.5" x14ac:dyDescent="0.25">
      <c r="A18" s="10" t="s">
        <v>348</v>
      </c>
      <c r="B18" s="10" t="s">
        <v>416</v>
      </c>
      <c r="C18" s="10" t="s">
        <v>185</v>
      </c>
      <c r="D18" s="10" t="s">
        <v>471</v>
      </c>
      <c r="E18" s="10" t="s">
        <v>472</v>
      </c>
      <c r="F18" s="10" t="s">
        <v>126</v>
      </c>
      <c r="G18" s="10" t="s">
        <v>349</v>
      </c>
      <c r="H18" s="10"/>
    </row>
    <row r="19" spans="1:8" ht="28.5" x14ac:dyDescent="0.25">
      <c r="A19" s="10" t="s">
        <v>350</v>
      </c>
      <c r="B19" s="10" t="s">
        <v>416</v>
      </c>
      <c r="C19" s="10" t="s">
        <v>193</v>
      </c>
      <c r="D19" s="10" t="s">
        <v>473</v>
      </c>
      <c r="E19" s="10" t="s">
        <v>474</v>
      </c>
      <c r="F19" s="10" t="s">
        <v>126</v>
      </c>
      <c r="G19" s="10" t="s">
        <v>351</v>
      </c>
      <c r="H19" s="10"/>
    </row>
    <row r="20" spans="1:8" x14ac:dyDescent="0.25">
      <c r="A20" s="2" t="s">
        <v>475</v>
      </c>
      <c r="B20" s="2"/>
      <c r="C20" s="2"/>
      <c r="D20" s="2"/>
      <c r="E20" s="2"/>
      <c r="F20" s="2"/>
      <c r="G20" s="2"/>
      <c r="H20" s="2"/>
    </row>
    <row r="21" spans="1:8" x14ac:dyDescent="0.25">
      <c r="A21" s="10" t="s">
        <v>352</v>
      </c>
      <c r="B21" s="10" t="s">
        <v>197</v>
      </c>
      <c r="C21" s="10" t="s">
        <v>198</v>
      </c>
      <c r="D21" s="10" t="s">
        <v>476</v>
      </c>
      <c r="E21" s="10" t="s">
        <v>477</v>
      </c>
      <c r="F21" s="10" t="s">
        <v>126</v>
      </c>
      <c r="G21" s="10" t="s">
        <v>353</v>
      </c>
      <c r="H21" s="10"/>
    </row>
    <row r="22" spans="1:8" ht="28.5" x14ac:dyDescent="0.25">
      <c r="A22" s="10" t="s">
        <v>354</v>
      </c>
      <c r="B22" s="10" t="s">
        <v>197</v>
      </c>
      <c r="C22" s="10" t="s">
        <v>202</v>
      </c>
      <c r="D22" s="10" t="s">
        <v>478</v>
      </c>
      <c r="E22" s="10" t="s">
        <v>479</v>
      </c>
      <c r="F22" s="10" t="s">
        <v>126</v>
      </c>
      <c r="G22" s="10" t="s">
        <v>355</v>
      </c>
      <c r="H22" s="10"/>
    </row>
    <row r="23" spans="1:8" ht="28.5" x14ac:dyDescent="0.25">
      <c r="A23" s="10" t="s">
        <v>356</v>
      </c>
      <c r="B23" s="10" t="s">
        <v>197</v>
      </c>
      <c r="C23" s="10" t="s">
        <v>206</v>
      </c>
      <c r="D23" s="10" t="s">
        <v>480</v>
      </c>
      <c r="E23" s="10" t="s">
        <v>481</v>
      </c>
      <c r="F23" s="10" t="s">
        <v>126</v>
      </c>
      <c r="G23" s="10" t="s">
        <v>357</v>
      </c>
      <c r="H23" s="10"/>
    </row>
    <row r="24" spans="1:8" ht="28.5" x14ac:dyDescent="0.25">
      <c r="A24" s="10" t="s">
        <v>358</v>
      </c>
      <c r="B24" s="10" t="s">
        <v>197</v>
      </c>
      <c r="C24" s="10" t="s">
        <v>210</v>
      </c>
      <c r="D24" s="10" t="s">
        <v>482</v>
      </c>
      <c r="E24" s="10" t="s">
        <v>483</v>
      </c>
      <c r="F24" s="10" t="s">
        <v>126</v>
      </c>
      <c r="G24" s="10" t="s">
        <v>359</v>
      </c>
      <c r="H24" s="10"/>
    </row>
    <row r="25" spans="1:8" ht="28.5" x14ac:dyDescent="0.25">
      <c r="A25" s="10" t="s">
        <v>360</v>
      </c>
      <c r="B25" s="10" t="s">
        <v>197</v>
      </c>
      <c r="C25" s="10" t="s">
        <v>484</v>
      </c>
      <c r="D25" s="10" t="s">
        <v>485</v>
      </c>
      <c r="E25" s="10" t="s">
        <v>486</v>
      </c>
      <c r="F25" s="10" t="s">
        <v>126</v>
      </c>
      <c r="G25" s="10" t="s">
        <v>361</v>
      </c>
      <c r="H25" s="10"/>
    </row>
    <row r="26" spans="1:8" ht="28.5" x14ac:dyDescent="0.25">
      <c r="A26" s="10" t="s">
        <v>362</v>
      </c>
      <c r="B26" s="10" t="s">
        <v>197</v>
      </c>
      <c r="C26" s="10" t="s">
        <v>218</v>
      </c>
      <c r="D26" s="10" t="s">
        <v>487</v>
      </c>
      <c r="E26" s="10" t="s">
        <v>488</v>
      </c>
      <c r="F26" s="10" t="s">
        <v>126</v>
      </c>
      <c r="G26" s="10" t="s">
        <v>363</v>
      </c>
      <c r="H26" s="10" t="s">
        <v>489</v>
      </c>
    </row>
    <row r="27" spans="1:8" x14ac:dyDescent="0.25">
      <c r="A27" s="2" t="s">
        <v>490</v>
      </c>
      <c r="B27" s="2"/>
      <c r="C27" s="2"/>
      <c r="D27" s="2"/>
      <c r="E27" s="2"/>
      <c r="F27" s="2"/>
      <c r="G27" s="2"/>
      <c r="H27" s="2"/>
    </row>
    <row r="28" spans="1:8" ht="28.5" x14ac:dyDescent="0.25">
      <c r="A28" s="10" t="s">
        <v>364</v>
      </c>
      <c r="B28" s="10" t="s">
        <v>419</v>
      </c>
      <c r="C28" s="10" t="s">
        <v>223</v>
      </c>
      <c r="D28" s="10" t="s">
        <v>491</v>
      </c>
      <c r="E28" s="10" t="s">
        <v>492</v>
      </c>
      <c r="F28" s="10" t="s">
        <v>126</v>
      </c>
      <c r="G28" s="10" t="s">
        <v>365</v>
      </c>
      <c r="H28" s="10"/>
    </row>
    <row r="29" spans="1:8" ht="28.5" x14ac:dyDescent="0.25">
      <c r="A29" s="10" t="s">
        <v>366</v>
      </c>
      <c r="B29" s="10" t="s">
        <v>419</v>
      </c>
      <c r="C29" s="10" t="s">
        <v>227</v>
      </c>
      <c r="D29" s="10" t="s">
        <v>493</v>
      </c>
      <c r="E29" s="10" t="s">
        <v>494</v>
      </c>
      <c r="F29" s="10" t="s">
        <v>126</v>
      </c>
      <c r="G29" s="10" t="s">
        <v>367</v>
      </c>
      <c r="H29" s="10"/>
    </row>
    <row r="30" spans="1:8" ht="28.5" x14ac:dyDescent="0.25">
      <c r="A30" s="10" t="s">
        <v>368</v>
      </c>
      <c r="B30" s="10" t="s">
        <v>419</v>
      </c>
      <c r="C30" s="10" t="s">
        <v>231</v>
      </c>
      <c r="D30" s="10" t="s">
        <v>495</v>
      </c>
      <c r="E30" s="10" t="s">
        <v>496</v>
      </c>
      <c r="F30" s="10" t="s">
        <v>140</v>
      </c>
      <c r="G30" s="10" t="s">
        <v>369</v>
      </c>
      <c r="H30" s="10"/>
    </row>
    <row r="31" spans="1:8" ht="28.5" x14ac:dyDescent="0.25">
      <c r="A31" s="10" t="s">
        <v>370</v>
      </c>
      <c r="B31" s="10" t="s">
        <v>419</v>
      </c>
      <c r="C31" s="10" t="s">
        <v>235</v>
      </c>
      <c r="D31" s="10" t="s">
        <v>497</v>
      </c>
      <c r="E31" s="10" t="s">
        <v>498</v>
      </c>
      <c r="F31" s="10" t="s">
        <v>126</v>
      </c>
      <c r="G31" s="10" t="s">
        <v>371</v>
      </c>
      <c r="H31" s="10"/>
    </row>
    <row r="32" spans="1:8" ht="28.5" x14ac:dyDescent="0.25">
      <c r="A32" s="10" t="s">
        <v>372</v>
      </c>
      <c r="B32" s="10" t="s">
        <v>419</v>
      </c>
      <c r="C32" s="10" t="s">
        <v>499</v>
      </c>
      <c r="D32" s="10" t="s">
        <v>500</v>
      </c>
      <c r="E32" s="10" t="s">
        <v>501</v>
      </c>
      <c r="F32" s="10" t="s">
        <v>140</v>
      </c>
      <c r="G32" s="10" t="s">
        <v>373</v>
      </c>
      <c r="H32" s="10"/>
    </row>
    <row r="33" spans="1:8" x14ac:dyDescent="0.25">
      <c r="A33" s="2" t="s">
        <v>502</v>
      </c>
      <c r="B33" s="2"/>
      <c r="C33" s="2"/>
      <c r="D33" s="2"/>
      <c r="E33" s="2"/>
      <c r="F33" s="2"/>
      <c r="G33" s="2"/>
      <c r="H33" s="2"/>
    </row>
    <row r="34" spans="1:8" ht="28.5" x14ac:dyDescent="0.25">
      <c r="A34" s="10" t="s">
        <v>374</v>
      </c>
      <c r="B34" s="10" t="s">
        <v>421</v>
      </c>
      <c r="C34" s="10" t="s">
        <v>244</v>
      </c>
      <c r="D34" s="10" t="s">
        <v>503</v>
      </c>
      <c r="E34" s="10" t="s">
        <v>504</v>
      </c>
      <c r="F34" s="10" t="s">
        <v>126</v>
      </c>
      <c r="G34" s="10" t="s">
        <v>375</v>
      </c>
      <c r="H34" s="10"/>
    </row>
    <row r="35" spans="1:8" ht="28.5" x14ac:dyDescent="0.25">
      <c r="A35" s="10" t="s">
        <v>376</v>
      </c>
      <c r="B35" s="10" t="s">
        <v>421</v>
      </c>
      <c r="C35" s="10" t="s">
        <v>248</v>
      </c>
      <c r="D35" s="10" t="s">
        <v>505</v>
      </c>
      <c r="E35" s="10" t="s">
        <v>506</v>
      </c>
      <c r="F35" s="10" t="s">
        <v>126</v>
      </c>
      <c r="G35" s="10" t="s">
        <v>377</v>
      </c>
      <c r="H35" s="10"/>
    </row>
    <row r="36" spans="1:8" ht="28.5" x14ac:dyDescent="0.25">
      <c r="A36" s="10" t="s">
        <v>378</v>
      </c>
      <c r="B36" s="10" t="s">
        <v>421</v>
      </c>
      <c r="C36" s="10" t="s">
        <v>252</v>
      </c>
      <c r="D36" s="10" t="s">
        <v>507</v>
      </c>
      <c r="E36" s="10" t="s">
        <v>508</v>
      </c>
      <c r="F36" s="10" t="s">
        <v>140</v>
      </c>
      <c r="G36" s="10" t="s">
        <v>379</v>
      </c>
      <c r="H36" s="10"/>
    </row>
    <row r="37" spans="1:8" ht="28.5" x14ac:dyDescent="0.25">
      <c r="A37" s="10" t="s">
        <v>380</v>
      </c>
      <c r="B37" s="10" t="s">
        <v>421</v>
      </c>
      <c r="C37" s="10" t="s">
        <v>256</v>
      </c>
      <c r="D37" s="10" t="s">
        <v>509</v>
      </c>
      <c r="E37" s="10" t="s">
        <v>510</v>
      </c>
      <c r="F37" s="10" t="s">
        <v>140</v>
      </c>
      <c r="G37" s="10" t="s">
        <v>381</v>
      </c>
      <c r="H37" s="10"/>
    </row>
    <row r="38" spans="1:8" ht="28.5" x14ac:dyDescent="0.25">
      <c r="A38" s="10" t="s">
        <v>382</v>
      </c>
      <c r="B38" s="10" t="s">
        <v>421</v>
      </c>
      <c r="C38" s="10" t="s">
        <v>260</v>
      </c>
      <c r="D38" s="10" t="s">
        <v>511</v>
      </c>
      <c r="E38" s="10" t="s">
        <v>512</v>
      </c>
      <c r="F38" s="10" t="s">
        <v>126</v>
      </c>
      <c r="G38" s="10" t="s">
        <v>383</v>
      </c>
      <c r="H38" s="10"/>
    </row>
    <row r="39" spans="1:8" ht="28.5" x14ac:dyDescent="0.25">
      <c r="A39" s="10" t="s">
        <v>384</v>
      </c>
      <c r="B39" s="10" t="s">
        <v>421</v>
      </c>
      <c r="C39" s="10" t="s">
        <v>264</v>
      </c>
      <c r="D39" s="10" t="s">
        <v>513</v>
      </c>
      <c r="E39" s="10" t="s">
        <v>514</v>
      </c>
      <c r="F39" s="10" t="s">
        <v>140</v>
      </c>
      <c r="G39" s="10" t="s">
        <v>385</v>
      </c>
      <c r="H39" s="10"/>
    </row>
    <row r="40" spans="1:8" x14ac:dyDescent="0.25">
      <c r="A40" s="2" t="s">
        <v>515</v>
      </c>
      <c r="B40" s="2"/>
      <c r="C40" s="2"/>
      <c r="D40" s="2"/>
      <c r="E40" s="2"/>
      <c r="F40" s="2"/>
      <c r="G40" s="2"/>
      <c r="H40" s="2"/>
    </row>
    <row r="41" spans="1:8" ht="28.5" x14ac:dyDescent="0.25">
      <c r="A41" s="10" t="s">
        <v>516</v>
      </c>
      <c r="B41" s="10" t="s">
        <v>423</v>
      </c>
      <c r="C41" s="10" t="s">
        <v>517</v>
      </c>
      <c r="D41" s="10" t="s">
        <v>518</v>
      </c>
      <c r="E41" s="10" t="s">
        <v>519</v>
      </c>
      <c r="F41" s="10" t="s">
        <v>126</v>
      </c>
      <c r="G41" s="10" t="s">
        <v>520</v>
      </c>
      <c r="H41" s="10"/>
    </row>
    <row r="42" spans="1:8" ht="28.5" x14ac:dyDescent="0.25">
      <c r="A42" s="10" t="s">
        <v>521</v>
      </c>
      <c r="B42" s="10" t="s">
        <v>423</v>
      </c>
      <c r="C42" s="10" t="s">
        <v>522</v>
      </c>
      <c r="D42" s="10" t="s">
        <v>523</v>
      </c>
      <c r="E42" s="10" t="s">
        <v>524</v>
      </c>
      <c r="F42" s="10" t="s">
        <v>126</v>
      </c>
      <c r="G42" s="10" t="s">
        <v>525</v>
      </c>
      <c r="H42" s="10"/>
    </row>
    <row r="43" spans="1:8" ht="28.5" x14ac:dyDescent="0.25">
      <c r="A43" s="10" t="s">
        <v>526</v>
      </c>
      <c r="B43" s="10" t="s">
        <v>423</v>
      </c>
      <c r="C43" s="10" t="s">
        <v>527</v>
      </c>
      <c r="D43" s="10" t="s">
        <v>528</v>
      </c>
      <c r="E43" s="10" t="s">
        <v>529</v>
      </c>
      <c r="F43" s="10" t="s">
        <v>140</v>
      </c>
      <c r="G43" s="10" t="s">
        <v>530</v>
      </c>
      <c r="H43" s="10"/>
    </row>
    <row r="44" spans="1:8" ht="28.5" x14ac:dyDescent="0.25">
      <c r="A44" s="10" t="s">
        <v>531</v>
      </c>
      <c r="B44" s="10" t="s">
        <v>423</v>
      </c>
      <c r="C44" s="10" t="s">
        <v>532</v>
      </c>
      <c r="D44" s="10" t="s">
        <v>533</v>
      </c>
      <c r="E44" s="10" t="s">
        <v>534</v>
      </c>
      <c r="F44" s="10" t="s">
        <v>140</v>
      </c>
      <c r="G44" s="10" t="s">
        <v>535</v>
      </c>
      <c r="H44" s="10"/>
    </row>
    <row r="45" spans="1:8" x14ac:dyDescent="0.25">
      <c r="A45" s="2" t="s">
        <v>536</v>
      </c>
      <c r="B45" s="2"/>
      <c r="C45" s="2"/>
      <c r="D45" s="2"/>
      <c r="E45" s="2"/>
      <c r="F45" s="2"/>
      <c r="G45" s="2"/>
      <c r="H45" s="2"/>
    </row>
    <row r="46" spans="1:8" ht="28.5" x14ac:dyDescent="0.25">
      <c r="A46" s="10" t="s">
        <v>386</v>
      </c>
      <c r="B46" s="10" t="s">
        <v>268</v>
      </c>
      <c r="C46" s="10" t="s">
        <v>269</v>
      </c>
      <c r="D46" s="10" t="s">
        <v>537</v>
      </c>
      <c r="E46" s="10" t="s">
        <v>538</v>
      </c>
      <c r="F46" s="10" t="s">
        <v>140</v>
      </c>
      <c r="G46" s="10" t="s">
        <v>387</v>
      </c>
      <c r="H46" s="10"/>
    </row>
    <row r="47" spans="1:8" ht="28.5" x14ac:dyDescent="0.25">
      <c r="A47" s="10" t="s">
        <v>388</v>
      </c>
      <c r="B47" s="10" t="s">
        <v>268</v>
      </c>
      <c r="C47" s="10" t="s">
        <v>273</v>
      </c>
      <c r="D47" s="10" t="s">
        <v>539</v>
      </c>
      <c r="E47" s="10" t="s">
        <v>540</v>
      </c>
      <c r="F47" s="10" t="s">
        <v>140</v>
      </c>
      <c r="G47" s="10" t="s">
        <v>389</v>
      </c>
      <c r="H47" s="10"/>
    </row>
    <row r="48" spans="1:8" ht="28.5" x14ac:dyDescent="0.25">
      <c r="A48" s="10" t="s">
        <v>390</v>
      </c>
      <c r="B48" s="10" t="s">
        <v>268</v>
      </c>
      <c r="C48" s="10" t="s">
        <v>277</v>
      </c>
      <c r="D48" s="10" t="s">
        <v>541</v>
      </c>
      <c r="E48" s="10" t="s">
        <v>542</v>
      </c>
      <c r="F48" s="10" t="s">
        <v>140</v>
      </c>
      <c r="G48" s="10" t="s">
        <v>391</v>
      </c>
      <c r="H48" s="10"/>
    </row>
    <row r="49" spans="1:8" x14ac:dyDescent="0.25">
      <c r="A49" s="2" t="s">
        <v>543</v>
      </c>
      <c r="B49" s="2"/>
      <c r="C49" s="2"/>
      <c r="D49" s="2"/>
      <c r="E49" s="2"/>
      <c r="F49" s="2"/>
      <c r="G49" s="2"/>
      <c r="H49" s="2"/>
    </row>
    <row r="50" spans="1:8" ht="28.5" x14ac:dyDescent="0.25">
      <c r="A50" s="10" t="s">
        <v>392</v>
      </c>
      <c r="B50" s="10" t="s">
        <v>426</v>
      </c>
      <c r="C50" s="10" t="s">
        <v>282</v>
      </c>
      <c r="D50" s="10" t="s">
        <v>544</v>
      </c>
      <c r="E50" s="10" t="s">
        <v>545</v>
      </c>
      <c r="F50" s="10" t="s">
        <v>126</v>
      </c>
      <c r="G50" s="10" t="s">
        <v>393</v>
      </c>
      <c r="H50" s="10"/>
    </row>
    <row r="51" spans="1:8" ht="28.5" x14ac:dyDescent="0.25">
      <c r="A51" s="10" t="s">
        <v>394</v>
      </c>
      <c r="B51" s="10" t="s">
        <v>426</v>
      </c>
      <c r="C51" s="10" t="s">
        <v>286</v>
      </c>
      <c r="D51" s="10" t="s">
        <v>546</v>
      </c>
      <c r="E51" s="10" t="s">
        <v>547</v>
      </c>
      <c r="F51" s="10" t="s">
        <v>126</v>
      </c>
      <c r="G51" s="10" t="s">
        <v>395</v>
      </c>
      <c r="H51" s="10"/>
    </row>
    <row r="52" spans="1:8" ht="28.5" x14ac:dyDescent="0.25">
      <c r="A52" s="10" t="s">
        <v>396</v>
      </c>
      <c r="B52" s="10" t="s">
        <v>426</v>
      </c>
      <c r="C52" s="10" t="s">
        <v>290</v>
      </c>
      <c r="D52" s="10" t="s">
        <v>548</v>
      </c>
      <c r="E52" s="10" t="s">
        <v>549</v>
      </c>
      <c r="F52" s="10" t="s">
        <v>126</v>
      </c>
      <c r="G52" s="10" t="s">
        <v>397</v>
      </c>
      <c r="H52" s="10"/>
    </row>
    <row r="53" spans="1:8" ht="28.5" x14ac:dyDescent="0.25">
      <c r="A53" s="10" t="s">
        <v>398</v>
      </c>
      <c r="B53" s="10" t="s">
        <v>426</v>
      </c>
      <c r="C53" s="10" t="s">
        <v>294</v>
      </c>
      <c r="D53" s="10" t="s">
        <v>550</v>
      </c>
      <c r="E53" s="10" t="s">
        <v>551</v>
      </c>
      <c r="F53" s="10" t="s">
        <v>126</v>
      </c>
      <c r="G53" s="10" t="s">
        <v>399</v>
      </c>
      <c r="H53" s="10"/>
    </row>
    <row r="54" spans="1:8" x14ac:dyDescent="0.25">
      <c r="A54" s="2" t="s">
        <v>552</v>
      </c>
      <c r="B54" s="2"/>
      <c r="C54" s="2"/>
      <c r="D54" s="2"/>
      <c r="E54" s="2"/>
      <c r="F54" s="2"/>
      <c r="G54" s="2"/>
      <c r="H54" s="2"/>
    </row>
    <row r="55" spans="1:8" ht="28.5" x14ac:dyDescent="0.25">
      <c r="A55" s="10" t="s">
        <v>400</v>
      </c>
      <c r="B55" s="10" t="s">
        <v>298</v>
      </c>
      <c r="C55" s="10" t="s">
        <v>553</v>
      </c>
      <c r="D55" s="10" t="s">
        <v>554</v>
      </c>
      <c r="E55" s="10" t="s">
        <v>555</v>
      </c>
      <c r="F55" s="10" t="s">
        <v>126</v>
      </c>
      <c r="G55" s="10" t="s">
        <v>401</v>
      </c>
      <c r="H55" s="10"/>
    </row>
    <row r="56" spans="1:8" ht="28.5" x14ac:dyDescent="0.25">
      <c r="A56" s="10" t="s">
        <v>402</v>
      </c>
      <c r="B56" s="10" t="s">
        <v>298</v>
      </c>
      <c r="C56" s="10" t="s">
        <v>303</v>
      </c>
      <c r="D56" s="10" t="s">
        <v>556</v>
      </c>
      <c r="E56" s="10" t="s">
        <v>557</v>
      </c>
      <c r="F56" s="10" t="s">
        <v>126</v>
      </c>
      <c r="G56" s="10" t="s">
        <v>403</v>
      </c>
      <c r="H56" s="10"/>
    </row>
    <row r="57" spans="1:8" x14ac:dyDescent="0.25">
      <c r="A57" s="2" t="s">
        <v>558</v>
      </c>
      <c r="B57" s="2"/>
      <c r="C57" s="2"/>
      <c r="D57" s="2"/>
      <c r="E57" s="2"/>
      <c r="F57" s="2"/>
      <c r="G57" s="2"/>
      <c r="H57" s="2"/>
    </row>
    <row r="58" spans="1:8" ht="28.5" x14ac:dyDescent="0.25">
      <c r="A58" s="10" t="s">
        <v>404</v>
      </c>
      <c r="B58" s="10" t="s">
        <v>311</v>
      </c>
      <c r="C58" s="10" t="s">
        <v>312</v>
      </c>
      <c r="D58" s="10" t="s">
        <v>559</v>
      </c>
      <c r="E58" s="10" t="s">
        <v>560</v>
      </c>
      <c r="F58" s="10" t="s">
        <v>140</v>
      </c>
      <c r="G58" s="10" t="s">
        <v>405</v>
      </c>
      <c r="H58" s="10" t="s">
        <v>561</v>
      </c>
    </row>
  </sheetData>
  <mergeCells count="11">
    <mergeCell ref="A57:H57"/>
    <mergeCell ref="A33:H33"/>
    <mergeCell ref="A40:H40"/>
    <mergeCell ref="A45:H45"/>
    <mergeCell ref="A49:H49"/>
    <mergeCell ref="A54:H54"/>
    <mergeCell ref="A2:H2"/>
    <mergeCell ref="A8:H8"/>
    <mergeCell ref="A15:H15"/>
    <mergeCell ref="A20:H20"/>
    <mergeCell ref="A27:H27"/>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57"/>
  <sheetViews>
    <sheetView zoomScaleNormal="100" workbookViewId="0">
      <pane ySplit="1" topLeftCell="A111" activePane="bottomLeft" state="frozen"/>
      <selection pane="bottomLeft"/>
    </sheetView>
  </sheetViews>
  <sheetFormatPr defaultColWidth="8.7109375" defaultRowHeight="15" x14ac:dyDescent="0.25"/>
  <cols>
    <col min="1" max="1" width="13" customWidth="1"/>
    <col min="2" max="3" width="16" customWidth="1"/>
    <col min="4" max="4" width="24" customWidth="1"/>
    <col min="5" max="5" width="30" customWidth="1"/>
    <col min="6" max="6" width="24" customWidth="1"/>
    <col min="7" max="7" width="34" customWidth="1"/>
    <col min="8" max="8" width="24" customWidth="1"/>
    <col min="9" max="9" width="30" customWidth="1"/>
    <col min="10" max="10" width="18" customWidth="1"/>
    <col min="11" max="11" width="11" customWidth="1"/>
    <col min="12" max="12" width="9" customWidth="1"/>
    <col min="13" max="13" width="11" customWidth="1"/>
    <col min="14" max="14" width="22" customWidth="1"/>
  </cols>
  <sheetData>
    <row r="1" spans="1:14" x14ac:dyDescent="0.25">
      <c r="A1" s="11" t="s">
        <v>562</v>
      </c>
      <c r="B1" s="11" t="s">
        <v>116</v>
      </c>
      <c r="C1" s="11" t="s">
        <v>117</v>
      </c>
      <c r="D1" s="11" t="s">
        <v>433</v>
      </c>
      <c r="E1" s="11" t="s">
        <v>563</v>
      </c>
      <c r="F1" s="11" t="s">
        <v>564</v>
      </c>
      <c r="G1" s="11" t="s">
        <v>565</v>
      </c>
      <c r="H1" s="11" t="s">
        <v>566</v>
      </c>
      <c r="I1" s="11" t="s">
        <v>567</v>
      </c>
      <c r="J1" s="11" t="s">
        <v>568</v>
      </c>
      <c r="K1" s="11" t="s">
        <v>41</v>
      </c>
      <c r="L1" s="11" t="s">
        <v>119</v>
      </c>
      <c r="M1" s="11" t="s">
        <v>569</v>
      </c>
      <c r="N1" s="11" t="s">
        <v>570</v>
      </c>
    </row>
    <row r="2" spans="1:14" x14ac:dyDescent="0.25">
      <c r="A2" s="2" t="s">
        <v>436</v>
      </c>
      <c r="B2" s="2"/>
      <c r="C2" s="2"/>
      <c r="D2" s="2"/>
      <c r="E2" s="2"/>
      <c r="F2" s="2"/>
      <c r="G2" s="2"/>
      <c r="H2" s="2"/>
      <c r="I2" s="2"/>
      <c r="J2" s="2"/>
      <c r="K2" s="2"/>
      <c r="L2" s="2"/>
      <c r="M2" s="2"/>
      <c r="N2" s="2"/>
    </row>
    <row r="3" spans="1:14" ht="57" x14ac:dyDescent="0.25">
      <c r="A3" s="10" t="s">
        <v>571</v>
      </c>
      <c r="B3" s="10" t="s">
        <v>123</v>
      </c>
      <c r="C3" s="10" t="s">
        <v>124</v>
      </c>
      <c r="D3" s="10" t="s">
        <v>572</v>
      </c>
      <c r="E3" s="10" t="s">
        <v>573</v>
      </c>
      <c r="F3" s="10" t="s">
        <v>574</v>
      </c>
      <c r="G3" s="10" t="s">
        <v>575</v>
      </c>
      <c r="H3" s="10" t="s">
        <v>576</v>
      </c>
      <c r="I3" s="10" t="s">
        <v>577</v>
      </c>
      <c r="J3" s="10"/>
      <c r="K3" s="10" t="s">
        <v>578</v>
      </c>
      <c r="L3" s="10" t="s">
        <v>126</v>
      </c>
      <c r="M3" s="10" t="s">
        <v>127</v>
      </c>
      <c r="N3" s="10"/>
    </row>
    <row r="4" spans="1:14" ht="57" x14ac:dyDescent="0.25">
      <c r="A4" s="10" t="s">
        <v>579</v>
      </c>
      <c r="B4" s="10" t="s">
        <v>123</v>
      </c>
      <c r="C4" s="10" t="s">
        <v>124</v>
      </c>
      <c r="D4" s="10" t="s">
        <v>580</v>
      </c>
      <c r="E4" s="10" t="s">
        <v>581</v>
      </c>
      <c r="F4" s="10" t="s">
        <v>582</v>
      </c>
      <c r="G4" s="10" t="s">
        <v>583</v>
      </c>
      <c r="H4" s="10" t="s">
        <v>584</v>
      </c>
      <c r="I4" s="10" t="s">
        <v>585</v>
      </c>
      <c r="J4" s="10"/>
      <c r="K4" s="10" t="s">
        <v>578</v>
      </c>
      <c r="L4" s="10" t="s">
        <v>126</v>
      </c>
      <c r="M4" s="10" t="s">
        <v>127</v>
      </c>
      <c r="N4" s="10"/>
    </row>
    <row r="5" spans="1:14" ht="57" x14ac:dyDescent="0.25">
      <c r="A5" s="10" t="s">
        <v>586</v>
      </c>
      <c r="B5" s="10" t="s">
        <v>123</v>
      </c>
      <c r="C5" s="10" t="s">
        <v>124</v>
      </c>
      <c r="D5" s="10" t="s">
        <v>587</v>
      </c>
      <c r="E5" s="10" t="s">
        <v>588</v>
      </c>
      <c r="F5" s="10" t="s">
        <v>582</v>
      </c>
      <c r="G5" s="10" t="s">
        <v>589</v>
      </c>
      <c r="H5" s="10" t="s">
        <v>590</v>
      </c>
      <c r="I5" s="10" t="s">
        <v>591</v>
      </c>
      <c r="J5" s="10"/>
      <c r="K5" s="10" t="s">
        <v>578</v>
      </c>
      <c r="L5" s="10" t="s">
        <v>126</v>
      </c>
      <c r="M5" s="10" t="s">
        <v>127</v>
      </c>
      <c r="N5" s="10"/>
    </row>
    <row r="6" spans="1:14" ht="42.75" x14ac:dyDescent="0.25">
      <c r="A6" s="10" t="s">
        <v>592</v>
      </c>
      <c r="B6" s="10" t="s">
        <v>123</v>
      </c>
      <c r="C6" s="10" t="s">
        <v>124</v>
      </c>
      <c r="D6" s="10" t="s">
        <v>593</v>
      </c>
      <c r="E6" s="10" t="s">
        <v>594</v>
      </c>
      <c r="F6" s="10" t="s">
        <v>582</v>
      </c>
      <c r="G6" s="10" t="s">
        <v>595</v>
      </c>
      <c r="H6" s="10"/>
      <c r="I6" s="10" t="s">
        <v>596</v>
      </c>
      <c r="J6" s="10"/>
      <c r="K6" s="10" t="s">
        <v>578</v>
      </c>
      <c r="L6" s="10" t="s">
        <v>126</v>
      </c>
      <c r="M6" s="10" t="s">
        <v>127</v>
      </c>
      <c r="N6" s="10"/>
    </row>
    <row r="7" spans="1:14" ht="42.75" x14ac:dyDescent="0.25">
      <c r="A7" s="10" t="s">
        <v>597</v>
      </c>
      <c r="B7" s="10" t="s">
        <v>123</v>
      </c>
      <c r="C7" s="10" t="s">
        <v>124</v>
      </c>
      <c r="D7" s="10" t="s">
        <v>598</v>
      </c>
      <c r="E7" s="10" t="s">
        <v>599</v>
      </c>
      <c r="F7" s="10" t="s">
        <v>582</v>
      </c>
      <c r="G7" s="10" t="s">
        <v>600</v>
      </c>
      <c r="H7" s="10" t="s">
        <v>601</v>
      </c>
      <c r="I7" s="10" t="s">
        <v>602</v>
      </c>
      <c r="J7" s="10"/>
      <c r="K7" s="10" t="s">
        <v>578</v>
      </c>
      <c r="L7" s="10" t="s">
        <v>126</v>
      </c>
      <c r="M7" s="10" t="s">
        <v>447</v>
      </c>
      <c r="N7" s="10"/>
    </row>
    <row r="8" spans="1:14" ht="57" x14ac:dyDescent="0.25">
      <c r="A8" s="10" t="s">
        <v>603</v>
      </c>
      <c r="B8" s="10" t="s">
        <v>123</v>
      </c>
      <c r="C8" s="10" t="s">
        <v>124</v>
      </c>
      <c r="D8" s="10" t="s">
        <v>604</v>
      </c>
      <c r="E8" s="10" t="s">
        <v>605</v>
      </c>
      <c r="F8" s="10" t="s">
        <v>606</v>
      </c>
      <c r="G8" s="10" t="s">
        <v>607</v>
      </c>
      <c r="H8" s="10" t="s">
        <v>608</v>
      </c>
      <c r="I8" s="10" t="s">
        <v>609</v>
      </c>
      <c r="J8" s="10"/>
      <c r="K8" s="10" t="s">
        <v>578</v>
      </c>
      <c r="L8" s="10" t="s">
        <v>126</v>
      </c>
      <c r="M8" s="10" t="s">
        <v>127</v>
      </c>
      <c r="N8" s="10"/>
    </row>
    <row r="9" spans="1:14" ht="57" x14ac:dyDescent="0.25">
      <c r="A9" s="10" t="s">
        <v>610</v>
      </c>
      <c r="B9" s="10" t="s">
        <v>123</v>
      </c>
      <c r="C9" s="10" t="s">
        <v>124</v>
      </c>
      <c r="D9" s="10" t="s">
        <v>611</v>
      </c>
      <c r="E9" s="10" t="s">
        <v>612</v>
      </c>
      <c r="F9" s="10" t="s">
        <v>606</v>
      </c>
      <c r="G9" s="10" t="s">
        <v>613</v>
      </c>
      <c r="H9" s="10" t="s">
        <v>614</v>
      </c>
      <c r="I9" s="10" t="s">
        <v>615</v>
      </c>
      <c r="J9" s="10"/>
      <c r="K9" s="10" t="s">
        <v>578</v>
      </c>
      <c r="L9" s="10" t="s">
        <v>126</v>
      </c>
      <c r="M9" s="10" t="s">
        <v>127</v>
      </c>
      <c r="N9" s="10"/>
    </row>
    <row r="10" spans="1:14" ht="28.5" x14ac:dyDescent="0.25">
      <c r="A10" s="10" t="s">
        <v>616</v>
      </c>
      <c r="B10" s="10" t="s">
        <v>123</v>
      </c>
      <c r="C10" s="10" t="s">
        <v>130</v>
      </c>
      <c r="D10" s="10" t="s">
        <v>617</v>
      </c>
      <c r="E10" s="10" t="s">
        <v>618</v>
      </c>
      <c r="F10" s="10" t="s">
        <v>619</v>
      </c>
      <c r="G10" s="10" t="s">
        <v>620</v>
      </c>
      <c r="H10" s="10"/>
      <c r="I10" s="10" t="s">
        <v>621</v>
      </c>
      <c r="J10" s="10"/>
      <c r="K10" s="10" t="s">
        <v>578</v>
      </c>
      <c r="L10" s="10" t="s">
        <v>126</v>
      </c>
      <c r="M10" s="10" t="s">
        <v>127</v>
      </c>
      <c r="N10" s="10"/>
    </row>
    <row r="11" spans="1:14" ht="28.5" x14ac:dyDescent="0.25">
      <c r="A11" s="10" t="s">
        <v>622</v>
      </c>
      <c r="B11" s="10" t="s">
        <v>123</v>
      </c>
      <c r="C11" s="10" t="s">
        <v>130</v>
      </c>
      <c r="D11" s="10" t="s">
        <v>623</v>
      </c>
      <c r="E11" s="10" t="s">
        <v>624</v>
      </c>
      <c r="F11" s="10" t="s">
        <v>625</v>
      </c>
      <c r="G11" s="10" t="s">
        <v>626</v>
      </c>
      <c r="H11" s="10"/>
      <c r="I11" s="10" t="s">
        <v>627</v>
      </c>
      <c r="J11" s="10"/>
      <c r="K11" s="10" t="s">
        <v>578</v>
      </c>
      <c r="L11" s="10" t="s">
        <v>126</v>
      </c>
      <c r="M11" s="10" t="s">
        <v>127</v>
      </c>
      <c r="N11" s="10"/>
    </row>
    <row r="12" spans="1:14" ht="42.75" x14ac:dyDescent="0.25">
      <c r="A12" s="10" t="s">
        <v>628</v>
      </c>
      <c r="B12" s="10" t="s">
        <v>123</v>
      </c>
      <c r="C12" s="10" t="s">
        <v>134</v>
      </c>
      <c r="D12" s="10" t="s">
        <v>629</v>
      </c>
      <c r="E12" s="10" t="s">
        <v>630</v>
      </c>
      <c r="F12" s="10" t="s">
        <v>631</v>
      </c>
      <c r="G12" s="10" t="s">
        <v>632</v>
      </c>
      <c r="H12" s="10" t="s">
        <v>633</v>
      </c>
      <c r="I12" s="10" t="s">
        <v>634</v>
      </c>
      <c r="J12" s="10"/>
      <c r="K12" s="10" t="s">
        <v>578</v>
      </c>
      <c r="L12" s="10" t="s">
        <v>126</v>
      </c>
      <c r="M12" s="10" t="s">
        <v>127</v>
      </c>
      <c r="N12" s="10"/>
    </row>
    <row r="13" spans="1:14" ht="42.75" x14ac:dyDescent="0.25">
      <c r="A13" s="10" t="s">
        <v>635</v>
      </c>
      <c r="B13" s="10" t="s">
        <v>123</v>
      </c>
      <c r="C13" s="10" t="s">
        <v>134</v>
      </c>
      <c r="D13" s="10" t="s">
        <v>636</v>
      </c>
      <c r="E13" s="10" t="s">
        <v>637</v>
      </c>
      <c r="F13" s="10" t="s">
        <v>638</v>
      </c>
      <c r="G13" s="10" t="s">
        <v>639</v>
      </c>
      <c r="H13" s="10" t="s">
        <v>640</v>
      </c>
      <c r="I13" s="10" t="s">
        <v>641</v>
      </c>
      <c r="J13" s="10"/>
      <c r="K13" s="10" t="s">
        <v>578</v>
      </c>
      <c r="L13" s="10" t="s">
        <v>126</v>
      </c>
      <c r="M13" s="10" t="s">
        <v>127</v>
      </c>
      <c r="N13" s="10"/>
    </row>
    <row r="14" spans="1:14" ht="42.75" x14ac:dyDescent="0.25">
      <c r="A14" s="10" t="s">
        <v>642</v>
      </c>
      <c r="B14" s="10" t="s">
        <v>123</v>
      </c>
      <c r="C14" s="10" t="s">
        <v>134</v>
      </c>
      <c r="D14" s="10" t="s">
        <v>643</v>
      </c>
      <c r="E14" s="10" t="s">
        <v>644</v>
      </c>
      <c r="F14" s="10"/>
      <c r="G14" s="10" t="s">
        <v>645</v>
      </c>
      <c r="H14" s="10" t="s">
        <v>646</v>
      </c>
      <c r="I14" s="10" t="s">
        <v>647</v>
      </c>
      <c r="J14" s="10"/>
      <c r="K14" s="10" t="s">
        <v>578</v>
      </c>
      <c r="L14" s="10" t="s">
        <v>126</v>
      </c>
      <c r="M14" s="10" t="s">
        <v>127</v>
      </c>
      <c r="N14" s="10"/>
    </row>
    <row r="15" spans="1:14" ht="42.75" x14ac:dyDescent="0.25">
      <c r="A15" s="10" t="s">
        <v>648</v>
      </c>
      <c r="B15" s="10" t="s">
        <v>123</v>
      </c>
      <c r="C15" s="10" t="s">
        <v>134</v>
      </c>
      <c r="D15" s="10" t="s">
        <v>649</v>
      </c>
      <c r="E15" s="10" t="s">
        <v>650</v>
      </c>
      <c r="F15" s="10"/>
      <c r="G15" s="10" t="s">
        <v>651</v>
      </c>
      <c r="H15" s="10"/>
      <c r="I15" s="10" t="s">
        <v>652</v>
      </c>
      <c r="J15" s="10"/>
      <c r="K15" s="10" t="s">
        <v>578</v>
      </c>
      <c r="L15" s="10" t="s">
        <v>140</v>
      </c>
      <c r="M15" s="10" t="s">
        <v>127</v>
      </c>
      <c r="N15" s="10"/>
    </row>
    <row r="16" spans="1:14" ht="42.75" x14ac:dyDescent="0.25">
      <c r="A16" s="10" t="s">
        <v>653</v>
      </c>
      <c r="B16" s="10" t="s">
        <v>123</v>
      </c>
      <c r="C16" s="10" t="s">
        <v>654</v>
      </c>
      <c r="D16" s="10" t="s">
        <v>655</v>
      </c>
      <c r="E16" s="10" t="s">
        <v>656</v>
      </c>
      <c r="F16" s="10" t="s">
        <v>657</v>
      </c>
      <c r="G16" s="10" t="s">
        <v>658</v>
      </c>
      <c r="H16" s="10" t="s">
        <v>640</v>
      </c>
      <c r="I16" s="10" t="s">
        <v>659</v>
      </c>
      <c r="J16" s="10"/>
      <c r="K16" s="10" t="s">
        <v>578</v>
      </c>
      <c r="L16" s="10" t="s">
        <v>140</v>
      </c>
      <c r="M16" s="10" t="s">
        <v>127</v>
      </c>
      <c r="N16" s="10"/>
    </row>
    <row r="17" spans="1:14" ht="42.75" x14ac:dyDescent="0.25">
      <c r="A17" s="10" t="s">
        <v>660</v>
      </c>
      <c r="B17" s="10" t="s">
        <v>123</v>
      </c>
      <c r="C17" s="10" t="s">
        <v>654</v>
      </c>
      <c r="D17" s="10" t="s">
        <v>661</v>
      </c>
      <c r="E17" s="10" t="s">
        <v>662</v>
      </c>
      <c r="F17" s="10"/>
      <c r="G17" s="10" t="s">
        <v>663</v>
      </c>
      <c r="H17" s="10" t="s">
        <v>664</v>
      </c>
      <c r="I17" s="10" t="s">
        <v>665</v>
      </c>
      <c r="J17" s="10"/>
      <c r="K17" s="10" t="s">
        <v>578</v>
      </c>
      <c r="L17" s="10" t="s">
        <v>140</v>
      </c>
      <c r="M17" s="10" t="s">
        <v>127</v>
      </c>
      <c r="N17" s="10"/>
    </row>
    <row r="18" spans="1:14" ht="28.5" x14ac:dyDescent="0.25">
      <c r="A18" s="10" t="s">
        <v>666</v>
      </c>
      <c r="B18" s="10" t="s">
        <v>123</v>
      </c>
      <c r="C18" s="10" t="s">
        <v>124</v>
      </c>
      <c r="D18" s="10" t="s">
        <v>667</v>
      </c>
      <c r="E18" s="10" t="s">
        <v>668</v>
      </c>
      <c r="F18" s="10" t="s">
        <v>669</v>
      </c>
      <c r="G18" s="10" t="s">
        <v>670</v>
      </c>
      <c r="H18" s="10"/>
      <c r="I18" s="10" t="s">
        <v>671</v>
      </c>
      <c r="J18" s="10"/>
      <c r="K18" s="10" t="s">
        <v>578</v>
      </c>
      <c r="L18" s="10" t="s">
        <v>126</v>
      </c>
      <c r="M18" s="10" t="s">
        <v>447</v>
      </c>
      <c r="N18" s="10"/>
    </row>
    <row r="19" spans="1:14" x14ac:dyDescent="0.25">
      <c r="A19" s="2" t="s">
        <v>452</v>
      </c>
      <c r="B19" s="2"/>
      <c r="C19" s="2"/>
      <c r="D19" s="2"/>
      <c r="E19" s="2"/>
      <c r="F19" s="2"/>
      <c r="G19" s="2"/>
      <c r="H19" s="2"/>
      <c r="I19" s="2"/>
      <c r="J19" s="2"/>
      <c r="K19" s="2"/>
      <c r="L19" s="2"/>
      <c r="M19" s="2"/>
      <c r="N19" s="2"/>
    </row>
    <row r="20" spans="1:14" ht="28.5" x14ac:dyDescent="0.25">
      <c r="A20" s="10" t="s">
        <v>672</v>
      </c>
      <c r="B20" s="10" t="s">
        <v>414</v>
      </c>
      <c r="C20" s="10" t="s">
        <v>149</v>
      </c>
      <c r="D20" s="10" t="s">
        <v>673</v>
      </c>
      <c r="E20" s="10" t="s">
        <v>674</v>
      </c>
      <c r="F20" s="10" t="s">
        <v>675</v>
      </c>
      <c r="G20" s="10" t="s">
        <v>676</v>
      </c>
      <c r="H20" s="10"/>
      <c r="I20" s="10" t="s">
        <v>677</v>
      </c>
      <c r="J20" s="10"/>
      <c r="K20" s="10" t="s">
        <v>578</v>
      </c>
      <c r="L20" s="10" t="s">
        <v>126</v>
      </c>
      <c r="M20" s="10" t="s">
        <v>127</v>
      </c>
      <c r="N20" s="10"/>
    </row>
    <row r="21" spans="1:14" ht="42.75" x14ac:dyDescent="0.25">
      <c r="A21" s="10" t="s">
        <v>678</v>
      </c>
      <c r="B21" s="10" t="s">
        <v>414</v>
      </c>
      <c r="C21" s="10" t="s">
        <v>149</v>
      </c>
      <c r="D21" s="10" t="s">
        <v>679</v>
      </c>
      <c r="E21" s="10" t="s">
        <v>680</v>
      </c>
      <c r="F21" s="10" t="s">
        <v>681</v>
      </c>
      <c r="G21" s="10" t="s">
        <v>682</v>
      </c>
      <c r="H21" s="10"/>
      <c r="I21" s="10" t="s">
        <v>683</v>
      </c>
      <c r="J21" s="10"/>
      <c r="K21" s="10" t="s">
        <v>578</v>
      </c>
      <c r="L21" s="10" t="s">
        <v>140</v>
      </c>
      <c r="M21" s="10" t="s">
        <v>127</v>
      </c>
      <c r="N21" s="10"/>
    </row>
    <row r="22" spans="1:14" ht="28.5" x14ac:dyDescent="0.25">
      <c r="A22" s="10" t="s">
        <v>684</v>
      </c>
      <c r="B22" s="10" t="s">
        <v>414</v>
      </c>
      <c r="C22" s="10" t="s">
        <v>153</v>
      </c>
      <c r="D22" s="10" t="s">
        <v>685</v>
      </c>
      <c r="E22" s="10" t="s">
        <v>686</v>
      </c>
      <c r="F22" s="10" t="s">
        <v>687</v>
      </c>
      <c r="G22" s="10" t="s">
        <v>688</v>
      </c>
      <c r="H22" s="10" t="s">
        <v>689</v>
      </c>
      <c r="I22" s="10" t="s">
        <v>690</v>
      </c>
      <c r="J22" s="10"/>
      <c r="K22" s="10" t="s">
        <v>578</v>
      </c>
      <c r="L22" s="10" t="s">
        <v>126</v>
      </c>
      <c r="M22" s="10" t="s">
        <v>127</v>
      </c>
      <c r="N22" s="10"/>
    </row>
    <row r="23" spans="1:14" ht="28.5" x14ac:dyDescent="0.25">
      <c r="A23" s="10" t="s">
        <v>691</v>
      </c>
      <c r="B23" s="10" t="s">
        <v>414</v>
      </c>
      <c r="C23" s="10" t="s">
        <v>153</v>
      </c>
      <c r="D23" s="10" t="s">
        <v>692</v>
      </c>
      <c r="E23" s="10" t="s">
        <v>693</v>
      </c>
      <c r="F23" s="10"/>
      <c r="G23" s="10" t="s">
        <v>694</v>
      </c>
      <c r="H23" s="10" t="s">
        <v>695</v>
      </c>
      <c r="I23" s="10" t="s">
        <v>696</v>
      </c>
      <c r="J23" s="10"/>
      <c r="K23" s="10" t="s">
        <v>578</v>
      </c>
      <c r="L23" s="10" t="s">
        <v>126</v>
      </c>
      <c r="M23" s="10" t="s">
        <v>127</v>
      </c>
      <c r="N23" s="10"/>
    </row>
    <row r="24" spans="1:14" ht="42.75" x14ac:dyDescent="0.25">
      <c r="A24" s="10" t="s">
        <v>697</v>
      </c>
      <c r="B24" s="10" t="s">
        <v>414</v>
      </c>
      <c r="C24" s="10" t="s">
        <v>153</v>
      </c>
      <c r="D24" s="10" t="s">
        <v>698</v>
      </c>
      <c r="E24" s="10" t="s">
        <v>699</v>
      </c>
      <c r="F24" s="10" t="s">
        <v>700</v>
      </c>
      <c r="G24" s="10" t="s">
        <v>701</v>
      </c>
      <c r="H24" s="10" t="s">
        <v>702</v>
      </c>
      <c r="I24" s="10" t="s">
        <v>703</v>
      </c>
      <c r="J24" s="10"/>
      <c r="K24" s="10" t="s">
        <v>578</v>
      </c>
      <c r="L24" s="10" t="s">
        <v>140</v>
      </c>
      <c r="M24" s="10" t="s">
        <v>127</v>
      </c>
      <c r="N24" s="10"/>
    </row>
    <row r="25" spans="1:14" ht="28.5" x14ac:dyDescent="0.25">
      <c r="A25" s="10" t="s">
        <v>704</v>
      </c>
      <c r="B25" s="10" t="s">
        <v>414</v>
      </c>
      <c r="C25" s="10" t="s">
        <v>157</v>
      </c>
      <c r="D25" s="10" t="s">
        <v>705</v>
      </c>
      <c r="E25" s="10" t="s">
        <v>706</v>
      </c>
      <c r="F25" s="10" t="s">
        <v>707</v>
      </c>
      <c r="G25" s="10" t="s">
        <v>708</v>
      </c>
      <c r="H25" s="10" t="s">
        <v>709</v>
      </c>
      <c r="I25" s="10" t="s">
        <v>710</v>
      </c>
      <c r="J25" s="10"/>
      <c r="K25" s="10" t="s">
        <v>578</v>
      </c>
      <c r="L25" s="10" t="s">
        <v>126</v>
      </c>
      <c r="M25" s="10" t="s">
        <v>127</v>
      </c>
      <c r="N25" s="10"/>
    </row>
    <row r="26" spans="1:14" ht="28.5" x14ac:dyDescent="0.25">
      <c r="A26" s="10" t="s">
        <v>711</v>
      </c>
      <c r="B26" s="10" t="s">
        <v>414</v>
      </c>
      <c r="C26" s="10" t="s">
        <v>157</v>
      </c>
      <c r="D26" s="10" t="s">
        <v>712</v>
      </c>
      <c r="E26" s="10" t="s">
        <v>713</v>
      </c>
      <c r="F26" s="10" t="s">
        <v>714</v>
      </c>
      <c r="G26" s="10" t="s">
        <v>715</v>
      </c>
      <c r="H26" s="10" t="s">
        <v>716</v>
      </c>
      <c r="I26" s="10" t="s">
        <v>717</v>
      </c>
      <c r="J26" s="10"/>
      <c r="K26" s="10" t="s">
        <v>578</v>
      </c>
      <c r="L26" s="10" t="s">
        <v>126</v>
      </c>
      <c r="M26" s="10" t="s">
        <v>127</v>
      </c>
      <c r="N26" s="10"/>
    </row>
    <row r="27" spans="1:14" ht="28.5" x14ac:dyDescent="0.25">
      <c r="A27" s="10" t="s">
        <v>718</v>
      </c>
      <c r="B27" s="10" t="s">
        <v>414</v>
      </c>
      <c r="C27" s="10" t="s">
        <v>157</v>
      </c>
      <c r="D27" s="10" t="s">
        <v>719</v>
      </c>
      <c r="E27" s="10" t="s">
        <v>720</v>
      </c>
      <c r="F27" s="10"/>
      <c r="G27" s="10" t="s">
        <v>721</v>
      </c>
      <c r="H27" s="10" t="s">
        <v>722</v>
      </c>
      <c r="I27" s="10" t="s">
        <v>723</v>
      </c>
      <c r="J27" s="10"/>
      <c r="K27" s="10" t="s">
        <v>578</v>
      </c>
      <c r="L27" s="10" t="s">
        <v>126</v>
      </c>
      <c r="M27" s="10" t="s">
        <v>127</v>
      </c>
      <c r="N27" s="10"/>
    </row>
    <row r="28" spans="1:14" ht="28.5" x14ac:dyDescent="0.25">
      <c r="A28" s="10" t="s">
        <v>724</v>
      </c>
      <c r="B28" s="10" t="s">
        <v>414</v>
      </c>
      <c r="C28" s="10" t="s">
        <v>157</v>
      </c>
      <c r="D28" s="10" t="s">
        <v>725</v>
      </c>
      <c r="E28" s="10" t="s">
        <v>726</v>
      </c>
      <c r="F28" s="10" t="s">
        <v>727</v>
      </c>
      <c r="G28" s="10" t="s">
        <v>728</v>
      </c>
      <c r="H28" s="10"/>
      <c r="I28" s="10" t="s">
        <v>729</v>
      </c>
      <c r="J28" s="10"/>
      <c r="K28" s="10" t="s">
        <v>578</v>
      </c>
      <c r="L28" s="10" t="s">
        <v>140</v>
      </c>
      <c r="M28" s="10" t="s">
        <v>127</v>
      </c>
      <c r="N28" s="10"/>
    </row>
    <row r="29" spans="1:14" ht="28.5" x14ac:dyDescent="0.25">
      <c r="A29" s="10" t="s">
        <v>730</v>
      </c>
      <c r="B29" s="10" t="s">
        <v>414</v>
      </c>
      <c r="C29" s="10" t="s">
        <v>459</v>
      </c>
      <c r="D29" s="10" t="s">
        <v>731</v>
      </c>
      <c r="E29" s="10" t="s">
        <v>732</v>
      </c>
      <c r="F29" s="10" t="s">
        <v>733</v>
      </c>
      <c r="G29" s="10" t="s">
        <v>734</v>
      </c>
      <c r="H29" s="10"/>
      <c r="I29" s="10" t="s">
        <v>735</v>
      </c>
      <c r="J29" s="10"/>
      <c r="K29" s="10" t="s">
        <v>578</v>
      </c>
      <c r="L29" s="10" t="s">
        <v>140</v>
      </c>
      <c r="M29" s="10" t="s">
        <v>127</v>
      </c>
      <c r="N29" s="10"/>
    </row>
    <row r="30" spans="1:14" ht="28.5" x14ac:dyDescent="0.25">
      <c r="A30" s="10" t="s">
        <v>736</v>
      </c>
      <c r="B30" s="10" t="s">
        <v>414</v>
      </c>
      <c r="C30" s="10" t="s">
        <v>459</v>
      </c>
      <c r="D30" s="10" t="s">
        <v>737</v>
      </c>
      <c r="E30" s="10" t="s">
        <v>738</v>
      </c>
      <c r="F30" s="10" t="s">
        <v>733</v>
      </c>
      <c r="G30" s="10" t="s">
        <v>739</v>
      </c>
      <c r="H30" s="10"/>
      <c r="I30" s="10" t="s">
        <v>740</v>
      </c>
      <c r="J30" s="10"/>
      <c r="K30" s="10" t="s">
        <v>578</v>
      </c>
      <c r="L30" s="10" t="s">
        <v>140</v>
      </c>
      <c r="M30" s="10" t="s">
        <v>127</v>
      </c>
      <c r="N30" s="10"/>
    </row>
    <row r="31" spans="1:14" ht="28.5" x14ac:dyDescent="0.25">
      <c r="A31" s="10" t="s">
        <v>741</v>
      </c>
      <c r="B31" s="10" t="s">
        <v>414</v>
      </c>
      <c r="C31" s="10" t="s">
        <v>459</v>
      </c>
      <c r="D31" s="10" t="s">
        <v>742</v>
      </c>
      <c r="E31" s="10" t="s">
        <v>743</v>
      </c>
      <c r="F31" s="10" t="s">
        <v>744</v>
      </c>
      <c r="G31" s="10" t="s">
        <v>745</v>
      </c>
      <c r="H31" s="10"/>
      <c r="I31" s="10" t="s">
        <v>746</v>
      </c>
      <c r="J31" s="10"/>
      <c r="K31" s="10" t="s">
        <v>578</v>
      </c>
      <c r="L31" s="10" t="s">
        <v>140</v>
      </c>
      <c r="M31" s="10" t="s">
        <v>127</v>
      </c>
      <c r="N31" s="10"/>
    </row>
    <row r="32" spans="1:14" ht="28.5" x14ac:dyDescent="0.25">
      <c r="A32" s="10" t="s">
        <v>747</v>
      </c>
      <c r="B32" s="10" t="s">
        <v>414</v>
      </c>
      <c r="C32" s="10" t="s">
        <v>161</v>
      </c>
      <c r="D32" s="10" t="s">
        <v>748</v>
      </c>
      <c r="E32" s="10" t="s">
        <v>749</v>
      </c>
      <c r="F32" s="10" t="s">
        <v>750</v>
      </c>
      <c r="G32" s="10" t="s">
        <v>751</v>
      </c>
      <c r="H32" s="10"/>
      <c r="I32" s="10" t="s">
        <v>752</v>
      </c>
      <c r="J32" s="10"/>
      <c r="K32" s="10" t="s">
        <v>578</v>
      </c>
      <c r="L32" s="10" t="s">
        <v>126</v>
      </c>
      <c r="M32" s="10" t="s">
        <v>127</v>
      </c>
      <c r="N32" s="10"/>
    </row>
    <row r="33" spans="1:14" ht="28.5" x14ac:dyDescent="0.25">
      <c r="A33" s="10" t="s">
        <v>753</v>
      </c>
      <c r="B33" s="10" t="s">
        <v>414</v>
      </c>
      <c r="C33" s="10" t="s">
        <v>161</v>
      </c>
      <c r="D33" s="10" t="s">
        <v>754</v>
      </c>
      <c r="E33" s="10" t="s">
        <v>755</v>
      </c>
      <c r="F33" s="10" t="s">
        <v>756</v>
      </c>
      <c r="G33" s="10" t="s">
        <v>757</v>
      </c>
      <c r="H33" s="10"/>
      <c r="I33" s="10" t="s">
        <v>758</v>
      </c>
      <c r="J33" s="10"/>
      <c r="K33" s="10" t="s">
        <v>578</v>
      </c>
      <c r="L33" s="10" t="s">
        <v>140</v>
      </c>
      <c r="M33" s="10" t="s">
        <v>298</v>
      </c>
      <c r="N33" s="10"/>
    </row>
    <row r="34" spans="1:14" ht="28.5" x14ac:dyDescent="0.25">
      <c r="A34" s="10" t="s">
        <v>759</v>
      </c>
      <c r="B34" s="10" t="s">
        <v>414</v>
      </c>
      <c r="C34" s="10" t="s">
        <v>161</v>
      </c>
      <c r="D34" s="10" t="s">
        <v>760</v>
      </c>
      <c r="E34" s="10" t="s">
        <v>761</v>
      </c>
      <c r="F34" s="10" t="s">
        <v>762</v>
      </c>
      <c r="G34" s="10" t="s">
        <v>763</v>
      </c>
      <c r="H34" s="10"/>
      <c r="I34" s="10" t="s">
        <v>764</v>
      </c>
      <c r="J34" s="10"/>
      <c r="K34" s="10" t="s">
        <v>578</v>
      </c>
      <c r="L34" s="10" t="s">
        <v>126</v>
      </c>
      <c r="M34" s="10" t="s">
        <v>127</v>
      </c>
      <c r="N34" s="10"/>
    </row>
    <row r="35" spans="1:14" ht="42.75" x14ac:dyDescent="0.25">
      <c r="A35" s="10" t="s">
        <v>765</v>
      </c>
      <c r="B35" s="10" t="s">
        <v>414</v>
      </c>
      <c r="C35" s="10" t="s">
        <v>169</v>
      </c>
      <c r="D35" s="10" t="s">
        <v>766</v>
      </c>
      <c r="E35" s="10" t="s">
        <v>767</v>
      </c>
      <c r="F35" s="10" t="s">
        <v>768</v>
      </c>
      <c r="G35" s="10" t="s">
        <v>769</v>
      </c>
      <c r="H35" s="10" t="s">
        <v>770</v>
      </c>
      <c r="I35" s="10" t="s">
        <v>771</v>
      </c>
      <c r="J35" s="10"/>
      <c r="K35" s="10" t="s">
        <v>578</v>
      </c>
      <c r="L35" s="10" t="s">
        <v>140</v>
      </c>
      <c r="M35" s="10" t="s">
        <v>127</v>
      </c>
      <c r="N35" s="10"/>
    </row>
    <row r="36" spans="1:14" ht="42.75" x14ac:dyDescent="0.25">
      <c r="A36" s="10" t="s">
        <v>772</v>
      </c>
      <c r="B36" s="10" t="s">
        <v>414</v>
      </c>
      <c r="C36" s="10" t="s">
        <v>169</v>
      </c>
      <c r="D36" s="10" t="s">
        <v>773</v>
      </c>
      <c r="E36" s="10" t="s">
        <v>774</v>
      </c>
      <c r="F36" s="10" t="s">
        <v>625</v>
      </c>
      <c r="G36" s="10" t="s">
        <v>775</v>
      </c>
      <c r="H36" s="10"/>
      <c r="I36" s="10" t="s">
        <v>647</v>
      </c>
      <c r="J36" s="10"/>
      <c r="K36" s="10" t="s">
        <v>578</v>
      </c>
      <c r="L36" s="10" t="s">
        <v>140</v>
      </c>
      <c r="M36" s="10" t="s">
        <v>127</v>
      </c>
      <c r="N36" s="10"/>
    </row>
    <row r="37" spans="1:14" ht="28.5" x14ac:dyDescent="0.25">
      <c r="A37" s="10" t="s">
        <v>776</v>
      </c>
      <c r="B37" s="10" t="s">
        <v>414</v>
      </c>
      <c r="C37" s="10" t="s">
        <v>777</v>
      </c>
      <c r="D37" s="10" t="s">
        <v>778</v>
      </c>
      <c r="E37" s="10" t="s">
        <v>779</v>
      </c>
      <c r="F37" s="10" t="s">
        <v>780</v>
      </c>
      <c r="G37" s="10" t="s">
        <v>781</v>
      </c>
      <c r="H37" s="10"/>
      <c r="I37" s="10" t="s">
        <v>782</v>
      </c>
      <c r="J37" s="10"/>
      <c r="K37" s="10" t="s">
        <v>578</v>
      </c>
      <c r="L37" s="10" t="s">
        <v>140</v>
      </c>
      <c r="M37" s="10" t="s">
        <v>298</v>
      </c>
      <c r="N37" s="10"/>
    </row>
    <row r="38" spans="1:14" x14ac:dyDescent="0.25">
      <c r="A38" s="2" t="s">
        <v>466</v>
      </c>
      <c r="B38" s="2"/>
      <c r="C38" s="2"/>
      <c r="D38" s="2"/>
      <c r="E38" s="2"/>
      <c r="F38" s="2"/>
      <c r="G38" s="2"/>
      <c r="H38" s="2"/>
      <c r="I38" s="2"/>
      <c r="J38" s="2"/>
      <c r="K38" s="2"/>
      <c r="L38" s="2"/>
      <c r="M38" s="2"/>
      <c r="N38" s="2"/>
    </row>
    <row r="39" spans="1:14" ht="28.5" x14ac:dyDescent="0.25">
      <c r="A39" s="10" t="s">
        <v>783</v>
      </c>
      <c r="B39" s="10" t="s">
        <v>416</v>
      </c>
      <c r="C39" s="10" t="s">
        <v>177</v>
      </c>
      <c r="D39" s="10" t="s">
        <v>784</v>
      </c>
      <c r="E39" s="10" t="s">
        <v>785</v>
      </c>
      <c r="F39" s="10" t="s">
        <v>786</v>
      </c>
      <c r="G39" s="10" t="s">
        <v>787</v>
      </c>
      <c r="H39" s="10" t="s">
        <v>788</v>
      </c>
      <c r="I39" s="10" t="s">
        <v>789</v>
      </c>
      <c r="J39" s="10"/>
      <c r="K39" s="10" t="s">
        <v>578</v>
      </c>
      <c r="L39" s="10" t="s">
        <v>126</v>
      </c>
      <c r="M39" s="10" t="s">
        <v>127</v>
      </c>
      <c r="N39" s="10"/>
    </row>
    <row r="40" spans="1:14" ht="42.75" x14ac:dyDescent="0.25">
      <c r="A40" s="10" t="s">
        <v>790</v>
      </c>
      <c r="B40" s="10" t="s">
        <v>416</v>
      </c>
      <c r="C40" s="10" t="s">
        <v>177</v>
      </c>
      <c r="D40" s="10" t="s">
        <v>791</v>
      </c>
      <c r="E40" s="10" t="s">
        <v>792</v>
      </c>
      <c r="F40" s="10" t="s">
        <v>793</v>
      </c>
      <c r="G40" s="10" t="s">
        <v>794</v>
      </c>
      <c r="H40" s="10" t="s">
        <v>795</v>
      </c>
      <c r="I40" s="10" t="s">
        <v>796</v>
      </c>
      <c r="J40" s="10"/>
      <c r="K40" s="10" t="s">
        <v>578</v>
      </c>
      <c r="L40" s="10" t="s">
        <v>126</v>
      </c>
      <c r="M40" s="10" t="s">
        <v>127</v>
      </c>
      <c r="N40" s="10"/>
    </row>
    <row r="41" spans="1:14" ht="28.5" x14ac:dyDescent="0.25">
      <c r="A41" s="10" t="s">
        <v>797</v>
      </c>
      <c r="B41" s="10" t="s">
        <v>416</v>
      </c>
      <c r="C41" s="10" t="s">
        <v>177</v>
      </c>
      <c r="D41" s="10" t="s">
        <v>798</v>
      </c>
      <c r="E41" s="10" t="s">
        <v>799</v>
      </c>
      <c r="F41" s="10" t="s">
        <v>800</v>
      </c>
      <c r="G41" s="10" t="s">
        <v>801</v>
      </c>
      <c r="H41" s="10" t="s">
        <v>802</v>
      </c>
      <c r="I41" s="10" t="s">
        <v>803</v>
      </c>
      <c r="J41" s="10"/>
      <c r="K41" s="10" t="s">
        <v>578</v>
      </c>
      <c r="L41" s="10" t="s">
        <v>126</v>
      </c>
      <c r="M41" s="10" t="s">
        <v>127</v>
      </c>
      <c r="N41" s="10"/>
    </row>
    <row r="42" spans="1:14" ht="28.5" x14ac:dyDescent="0.25">
      <c r="A42" s="10" t="s">
        <v>804</v>
      </c>
      <c r="B42" s="10" t="s">
        <v>416</v>
      </c>
      <c r="C42" s="10" t="s">
        <v>177</v>
      </c>
      <c r="D42" s="10" t="s">
        <v>805</v>
      </c>
      <c r="E42" s="10" t="s">
        <v>806</v>
      </c>
      <c r="F42" s="10" t="s">
        <v>807</v>
      </c>
      <c r="G42" s="10" t="s">
        <v>808</v>
      </c>
      <c r="H42" s="10"/>
      <c r="I42" s="10" t="s">
        <v>809</v>
      </c>
      <c r="J42" s="10"/>
      <c r="K42" s="10" t="s">
        <v>578</v>
      </c>
      <c r="L42" s="10" t="s">
        <v>126</v>
      </c>
      <c r="M42" s="10" t="s">
        <v>127</v>
      </c>
      <c r="N42" s="10"/>
    </row>
    <row r="43" spans="1:14" ht="42.75" x14ac:dyDescent="0.25">
      <c r="A43" s="10" t="s">
        <v>810</v>
      </c>
      <c r="B43" s="10" t="s">
        <v>416</v>
      </c>
      <c r="C43" s="10" t="s">
        <v>181</v>
      </c>
      <c r="D43" s="10" t="s">
        <v>811</v>
      </c>
      <c r="E43" s="10" t="s">
        <v>812</v>
      </c>
      <c r="F43" s="10" t="s">
        <v>813</v>
      </c>
      <c r="G43" s="10" t="s">
        <v>814</v>
      </c>
      <c r="H43" s="10" t="s">
        <v>815</v>
      </c>
      <c r="I43" s="10" t="s">
        <v>816</v>
      </c>
      <c r="J43" s="10"/>
      <c r="K43" s="10" t="s">
        <v>578</v>
      </c>
      <c r="L43" s="10" t="s">
        <v>126</v>
      </c>
      <c r="M43" s="10" t="s">
        <v>127</v>
      </c>
      <c r="N43" s="10"/>
    </row>
    <row r="44" spans="1:14" ht="42.75" x14ac:dyDescent="0.25">
      <c r="A44" s="10" t="s">
        <v>817</v>
      </c>
      <c r="B44" s="10" t="s">
        <v>416</v>
      </c>
      <c r="C44" s="10" t="s">
        <v>181</v>
      </c>
      <c r="D44" s="10" t="s">
        <v>818</v>
      </c>
      <c r="E44" s="10" t="s">
        <v>819</v>
      </c>
      <c r="F44" s="10" t="s">
        <v>820</v>
      </c>
      <c r="G44" s="10" t="s">
        <v>821</v>
      </c>
      <c r="H44" s="10" t="s">
        <v>822</v>
      </c>
      <c r="I44" s="10" t="s">
        <v>816</v>
      </c>
      <c r="J44" s="10"/>
      <c r="K44" s="10" t="s">
        <v>578</v>
      </c>
      <c r="L44" s="10" t="s">
        <v>126</v>
      </c>
      <c r="M44" s="10" t="s">
        <v>127</v>
      </c>
      <c r="N44" s="10"/>
    </row>
    <row r="45" spans="1:14" ht="42.75" x14ac:dyDescent="0.25">
      <c r="A45" s="10" t="s">
        <v>823</v>
      </c>
      <c r="B45" s="10" t="s">
        <v>416</v>
      </c>
      <c r="C45" s="10" t="s">
        <v>181</v>
      </c>
      <c r="D45" s="10" t="s">
        <v>824</v>
      </c>
      <c r="E45" s="10" t="s">
        <v>825</v>
      </c>
      <c r="F45" s="10" t="s">
        <v>813</v>
      </c>
      <c r="G45" s="10" t="s">
        <v>826</v>
      </c>
      <c r="H45" s="10" t="s">
        <v>827</v>
      </c>
      <c r="I45" s="10" t="s">
        <v>828</v>
      </c>
      <c r="J45" s="10"/>
      <c r="K45" s="10" t="s">
        <v>578</v>
      </c>
      <c r="L45" s="10" t="s">
        <v>140</v>
      </c>
      <c r="M45" s="10" t="s">
        <v>127</v>
      </c>
      <c r="N45" s="10"/>
    </row>
    <row r="46" spans="1:14" ht="28.5" x14ac:dyDescent="0.25">
      <c r="A46" s="10" t="s">
        <v>829</v>
      </c>
      <c r="B46" s="10" t="s">
        <v>416</v>
      </c>
      <c r="C46" s="10" t="s">
        <v>185</v>
      </c>
      <c r="D46" s="10" t="s">
        <v>830</v>
      </c>
      <c r="E46" s="10" t="s">
        <v>831</v>
      </c>
      <c r="F46" s="10" t="s">
        <v>813</v>
      </c>
      <c r="G46" s="10" t="s">
        <v>832</v>
      </c>
      <c r="H46" s="10"/>
      <c r="I46" s="10" t="s">
        <v>833</v>
      </c>
      <c r="J46" s="10"/>
      <c r="K46" s="10" t="s">
        <v>578</v>
      </c>
      <c r="L46" s="10" t="s">
        <v>126</v>
      </c>
      <c r="M46" s="10" t="s">
        <v>127</v>
      </c>
      <c r="N46" s="10"/>
    </row>
    <row r="47" spans="1:14" x14ac:dyDescent="0.25">
      <c r="A47" s="10" t="s">
        <v>834</v>
      </c>
      <c r="B47" s="10" t="s">
        <v>416</v>
      </c>
      <c r="C47" s="10" t="s">
        <v>185</v>
      </c>
      <c r="D47" s="10" t="s">
        <v>835</v>
      </c>
      <c r="E47" s="10" t="s">
        <v>836</v>
      </c>
      <c r="F47" s="10" t="s">
        <v>837</v>
      </c>
      <c r="G47" s="10" t="s">
        <v>838</v>
      </c>
      <c r="H47" s="10"/>
      <c r="I47" s="10" t="s">
        <v>839</v>
      </c>
      <c r="J47" s="10"/>
      <c r="K47" s="10" t="s">
        <v>578</v>
      </c>
      <c r="L47" s="10" t="s">
        <v>126</v>
      </c>
      <c r="M47" s="10" t="s">
        <v>127</v>
      </c>
      <c r="N47" s="10"/>
    </row>
    <row r="48" spans="1:14" ht="42.75" x14ac:dyDescent="0.25">
      <c r="A48" s="10" t="s">
        <v>840</v>
      </c>
      <c r="B48" s="10" t="s">
        <v>416</v>
      </c>
      <c r="C48" s="10" t="s">
        <v>193</v>
      </c>
      <c r="D48" s="10" t="s">
        <v>841</v>
      </c>
      <c r="E48" s="10" t="s">
        <v>842</v>
      </c>
      <c r="F48" s="10" t="s">
        <v>837</v>
      </c>
      <c r="G48" s="10" t="s">
        <v>843</v>
      </c>
      <c r="H48" s="10" t="s">
        <v>844</v>
      </c>
      <c r="I48" s="10" t="s">
        <v>845</v>
      </c>
      <c r="J48" s="10"/>
      <c r="K48" s="10" t="s">
        <v>578</v>
      </c>
      <c r="L48" s="10" t="s">
        <v>126</v>
      </c>
      <c r="M48" s="10" t="s">
        <v>127</v>
      </c>
      <c r="N48" s="10"/>
    </row>
    <row r="49" spans="1:14" ht="42.75" x14ac:dyDescent="0.25">
      <c r="A49" s="10" t="s">
        <v>846</v>
      </c>
      <c r="B49" s="10" t="s">
        <v>416</v>
      </c>
      <c r="C49" s="10" t="s">
        <v>193</v>
      </c>
      <c r="D49" s="10" t="s">
        <v>847</v>
      </c>
      <c r="E49" s="10" t="s">
        <v>848</v>
      </c>
      <c r="F49" s="10" t="s">
        <v>849</v>
      </c>
      <c r="G49" s="10" t="s">
        <v>850</v>
      </c>
      <c r="H49" s="10" t="s">
        <v>851</v>
      </c>
      <c r="I49" s="10" t="s">
        <v>852</v>
      </c>
      <c r="J49" s="10"/>
      <c r="K49" s="10" t="s">
        <v>578</v>
      </c>
      <c r="L49" s="10" t="s">
        <v>126</v>
      </c>
      <c r="M49" s="10" t="s">
        <v>127</v>
      </c>
      <c r="N49" s="10"/>
    </row>
    <row r="50" spans="1:14" ht="42.75" x14ac:dyDescent="0.25">
      <c r="A50" s="10" t="s">
        <v>853</v>
      </c>
      <c r="B50" s="10" t="s">
        <v>416</v>
      </c>
      <c r="C50" s="10" t="s">
        <v>189</v>
      </c>
      <c r="D50" s="10" t="s">
        <v>854</v>
      </c>
      <c r="E50" s="10" t="s">
        <v>855</v>
      </c>
      <c r="F50" s="10" t="s">
        <v>856</v>
      </c>
      <c r="G50" s="10" t="s">
        <v>857</v>
      </c>
      <c r="H50" s="10"/>
      <c r="I50" s="10" t="s">
        <v>858</v>
      </c>
      <c r="J50" s="10"/>
      <c r="K50" s="10" t="s">
        <v>578</v>
      </c>
      <c r="L50" s="10" t="s">
        <v>140</v>
      </c>
      <c r="M50" s="10" t="s">
        <v>127</v>
      </c>
      <c r="N50" s="10"/>
    </row>
    <row r="51" spans="1:14" x14ac:dyDescent="0.25">
      <c r="A51" s="2" t="s">
        <v>475</v>
      </c>
      <c r="B51" s="2"/>
      <c r="C51" s="2"/>
      <c r="D51" s="2"/>
      <c r="E51" s="2"/>
      <c r="F51" s="2"/>
      <c r="G51" s="2"/>
      <c r="H51" s="2"/>
      <c r="I51" s="2"/>
      <c r="J51" s="2"/>
      <c r="K51" s="2"/>
      <c r="L51" s="2"/>
      <c r="M51" s="2"/>
      <c r="N51" s="2"/>
    </row>
    <row r="52" spans="1:14" ht="71.25" x14ac:dyDescent="0.25">
      <c r="A52" s="10" t="s">
        <v>859</v>
      </c>
      <c r="B52" s="10" t="s">
        <v>197</v>
      </c>
      <c r="C52" s="10" t="s">
        <v>198</v>
      </c>
      <c r="D52" s="10" t="s">
        <v>860</v>
      </c>
      <c r="E52" s="10" t="s">
        <v>861</v>
      </c>
      <c r="F52" s="10" t="s">
        <v>837</v>
      </c>
      <c r="G52" s="10" t="s">
        <v>862</v>
      </c>
      <c r="H52" s="10" t="s">
        <v>863</v>
      </c>
      <c r="I52" s="10" t="s">
        <v>864</v>
      </c>
      <c r="J52" s="10"/>
      <c r="K52" s="10" t="s">
        <v>578</v>
      </c>
      <c r="L52" s="10" t="s">
        <v>126</v>
      </c>
      <c r="M52" s="10" t="s">
        <v>127</v>
      </c>
      <c r="N52" s="10"/>
    </row>
    <row r="53" spans="1:14" ht="28.5" x14ac:dyDescent="0.25">
      <c r="A53" s="10" t="s">
        <v>865</v>
      </c>
      <c r="B53" s="10" t="s">
        <v>197</v>
      </c>
      <c r="C53" s="10" t="s">
        <v>198</v>
      </c>
      <c r="D53" s="10" t="s">
        <v>866</v>
      </c>
      <c r="E53" s="10" t="s">
        <v>867</v>
      </c>
      <c r="F53" s="10" t="s">
        <v>868</v>
      </c>
      <c r="G53" s="10" t="s">
        <v>869</v>
      </c>
      <c r="H53" s="10" t="s">
        <v>870</v>
      </c>
      <c r="I53" s="10" t="s">
        <v>871</v>
      </c>
      <c r="J53" s="10"/>
      <c r="K53" s="10" t="s">
        <v>578</v>
      </c>
      <c r="L53" s="10" t="s">
        <v>126</v>
      </c>
      <c r="M53" s="10" t="s">
        <v>127</v>
      </c>
      <c r="N53" s="10"/>
    </row>
    <row r="54" spans="1:14" ht="57" x14ac:dyDescent="0.25">
      <c r="A54" s="10" t="s">
        <v>355</v>
      </c>
      <c r="B54" s="10" t="s">
        <v>197</v>
      </c>
      <c r="C54" s="10" t="s">
        <v>202</v>
      </c>
      <c r="D54" s="10" t="s">
        <v>872</v>
      </c>
      <c r="E54" s="10" t="s">
        <v>873</v>
      </c>
      <c r="F54" s="10" t="s">
        <v>874</v>
      </c>
      <c r="G54" s="10" t="s">
        <v>875</v>
      </c>
      <c r="H54" s="10" t="s">
        <v>876</v>
      </c>
      <c r="I54" s="10" t="s">
        <v>877</v>
      </c>
      <c r="J54" s="10"/>
      <c r="K54" s="10" t="s">
        <v>578</v>
      </c>
      <c r="L54" s="10" t="s">
        <v>126</v>
      </c>
      <c r="M54" s="10" t="s">
        <v>127</v>
      </c>
      <c r="N54" s="10"/>
    </row>
    <row r="55" spans="1:14" ht="28.5" x14ac:dyDescent="0.25">
      <c r="A55" s="10" t="s">
        <v>878</v>
      </c>
      <c r="B55" s="10" t="s">
        <v>197</v>
      </c>
      <c r="C55" s="10" t="s">
        <v>206</v>
      </c>
      <c r="D55" s="10" t="s">
        <v>879</v>
      </c>
      <c r="E55" s="10" t="s">
        <v>880</v>
      </c>
      <c r="F55" s="10" t="s">
        <v>881</v>
      </c>
      <c r="G55" s="10" t="s">
        <v>882</v>
      </c>
      <c r="H55" s="10" t="s">
        <v>883</v>
      </c>
      <c r="I55" s="10" t="s">
        <v>884</v>
      </c>
      <c r="J55" s="10"/>
      <c r="K55" s="10" t="s">
        <v>578</v>
      </c>
      <c r="L55" s="10" t="s">
        <v>126</v>
      </c>
      <c r="M55" s="10" t="s">
        <v>127</v>
      </c>
      <c r="N55" s="10"/>
    </row>
    <row r="56" spans="1:14" ht="28.5" x14ac:dyDescent="0.25">
      <c r="A56" s="10" t="s">
        <v>885</v>
      </c>
      <c r="B56" s="10" t="s">
        <v>197</v>
      </c>
      <c r="C56" s="10" t="s">
        <v>206</v>
      </c>
      <c r="D56" s="10" t="s">
        <v>886</v>
      </c>
      <c r="E56" s="10" t="s">
        <v>887</v>
      </c>
      <c r="F56" s="10" t="s">
        <v>881</v>
      </c>
      <c r="G56" s="10" t="s">
        <v>888</v>
      </c>
      <c r="H56" s="10" t="s">
        <v>889</v>
      </c>
      <c r="I56" s="10" t="s">
        <v>890</v>
      </c>
      <c r="J56" s="10"/>
      <c r="K56" s="10" t="s">
        <v>578</v>
      </c>
      <c r="L56" s="10" t="s">
        <v>126</v>
      </c>
      <c r="M56" s="10" t="s">
        <v>127</v>
      </c>
      <c r="N56" s="10"/>
    </row>
    <row r="57" spans="1:14" ht="28.5" x14ac:dyDescent="0.25">
      <c r="A57" s="10" t="s">
        <v>891</v>
      </c>
      <c r="B57" s="10" t="s">
        <v>197</v>
      </c>
      <c r="C57" s="10" t="s">
        <v>206</v>
      </c>
      <c r="D57" s="10" t="s">
        <v>892</v>
      </c>
      <c r="E57" s="10" t="s">
        <v>893</v>
      </c>
      <c r="F57" s="10" t="s">
        <v>881</v>
      </c>
      <c r="G57" s="10" t="s">
        <v>894</v>
      </c>
      <c r="H57" s="10" t="s">
        <v>895</v>
      </c>
      <c r="I57" s="10" t="s">
        <v>896</v>
      </c>
      <c r="J57" s="10"/>
      <c r="K57" s="10" t="s">
        <v>578</v>
      </c>
      <c r="L57" s="10" t="s">
        <v>140</v>
      </c>
      <c r="M57" s="10" t="s">
        <v>127</v>
      </c>
      <c r="N57" s="10"/>
    </row>
    <row r="58" spans="1:14" ht="28.5" x14ac:dyDescent="0.25">
      <c r="A58" s="10" t="s">
        <v>897</v>
      </c>
      <c r="B58" s="10" t="s">
        <v>197</v>
      </c>
      <c r="C58" s="10" t="s">
        <v>210</v>
      </c>
      <c r="D58" s="10" t="s">
        <v>898</v>
      </c>
      <c r="E58" s="10" t="s">
        <v>899</v>
      </c>
      <c r="F58" s="10" t="s">
        <v>900</v>
      </c>
      <c r="G58" s="10" t="s">
        <v>901</v>
      </c>
      <c r="H58" s="10"/>
      <c r="I58" s="10" t="s">
        <v>902</v>
      </c>
      <c r="J58" s="10"/>
      <c r="K58" s="10" t="s">
        <v>578</v>
      </c>
      <c r="L58" s="10" t="s">
        <v>126</v>
      </c>
      <c r="M58" s="10" t="s">
        <v>127</v>
      </c>
      <c r="N58" s="10"/>
    </row>
    <row r="59" spans="1:14" ht="28.5" x14ac:dyDescent="0.25">
      <c r="A59" s="10" t="s">
        <v>903</v>
      </c>
      <c r="B59" s="10" t="s">
        <v>197</v>
      </c>
      <c r="C59" s="10" t="s">
        <v>210</v>
      </c>
      <c r="D59" s="10" t="s">
        <v>292</v>
      </c>
      <c r="E59" s="10" t="s">
        <v>904</v>
      </c>
      <c r="F59" s="10" t="s">
        <v>905</v>
      </c>
      <c r="G59" s="10" t="s">
        <v>906</v>
      </c>
      <c r="H59" s="10" t="s">
        <v>907</v>
      </c>
      <c r="I59" s="10" t="s">
        <v>908</v>
      </c>
      <c r="J59" s="10"/>
      <c r="K59" s="10" t="s">
        <v>578</v>
      </c>
      <c r="L59" s="10" t="s">
        <v>126</v>
      </c>
      <c r="M59" s="10" t="s">
        <v>127</v>
      </c>
      <c r="N59" s="10"/>
    </row>
    <row r="60" spans="1:14" ht="42.75" x14ac:dyDescent="0.25">
      <c r="A60" s="10" t="s">
        <v>361</v>
      </c>
      <c r="B60" s="10" t="s">
        <v>197</v>
      </c>
      <c r="C60" s="10" t="s">
        <v>214</v>
      </c>
      <c r="D60" s="10" t="s">
        <v>909</v>
      </c>
      <c r="E60" s="10" t="s">
        <v>910</v>
      </c>
      <c r="F60" s="10" t="s">
        <v>911</v>
      </c>
      <c r="G60" s="10" t="s">
        <v>912</v>
      </c>
      <c r="H60" s="10" t="s">
        <v>913</v>
      </c>
      <c r="I60" s="10" t="s">
        <v>914</v>
      </c>
      <c r="J60" s="10"/>
      <c r="K60" s="10" t="s">
        <v>578</v>
      </c>
      <c r="L60" s="10" t="s">
        <v>126</v>
      </c>
      <c r="M60" s="10" t="s">
        <v>127</v>
      </c>
      <c r="N60" s="10"/>
    </row>
    <row r="61" spans="1:14" ht="28.5" x14ac:dyDescent="0.25">
      <c r="A61" s="10" t="s">
        <v>915</v>
      </c>
      <c r="B61" s="10" t="s">
        <v>197</v>
      </c>
      <c r="C61" s="10" t="s">
        <v>218</v>
      </c>
      <c r="D61" s="10" t="s">
        <v>916</v>
      </c>
      <c r="E61" s="10" t="s">
        <v>917</v>
      </c>
      <c r="F61" s="10" t="s">
        <v>918</v>
      </c>
      <c r="G61" s="10" t="s">
        <v>919</v>
      </c>
      <c r="H61" s="10"/>
      <c r="I61" s="10" t="s">
        <v>920</v>
      </c>
      <c r="J61" s="10"/>
      <c r="K61" s="10" t="s">
        <v>578</v>
      </c>
      <c r="L61" s="10" t="s">
        <v>126</v>
      </c>
      <c r="M61" s="10" t="s">
        <v>127</v>
      </c>
      <c r="N61" s="10"/>
    </row>
    <row r="62" spans="1:14" ht="28.5" x14ac:dyDescent="0.25">
      <c r="A62" s="10" t="s">
        <v>921</v>
      </c>
      <c r="B62" s="10" t="s">
        <v>197</v>
      </c>
      <c r="C62" s="10" t="s">
        <v>218</v>
      </c>
      <c r="D62" s="10" t="s">
        <v>922</v>
      </c>
      <c r="E62" s="10" t="s">
        <v>923</v>
      </c>
      <c r="F62" s="10" t="s">
        <v>924</v>
      </c>
      <c r="G62" s="10" t="s">
        <v>925</v>
      </c>
      <c r="H62" s="10" t="s">
        <v>926</v>
      </c>
      <c r="I62" s="10" t="s">
        <v>927</v>
      </c>
      <c r="J62" s="10"/>
      <c r="K62" s="10" t="s">
        <v>578</v>
      </c>
      <c r="L62" s="10" t="s">
        <v>126</v>
      </c>
      <c r="M62" s="10" t="s">
        <v>127</v>
      </c>
      <c r="N62" s="10"/>
    </row>
    <row r="63" spans="1:14" ht="28.5" x14ac:dyDescent="0.25">
      <c r="A63" s="10" t="s">
        <v>928</v>
      </c>
      <c r="B63" s="10" t="s">
        <v>197</v>
      </c>
      <c r="C63" s="10" t="s">
        <v>197</v>
      </c>
      <c r="D63" s="10" t="s">
        <v>929</v>
      </c>
      <c r="E63" s="10" t="s">
        <v>930</v>
      </c>
      <c r="F63" s="10" t="s">
        <v>931</v>
      </c>
      <c r="G63" s="10" t="s">
        <v>932</v>
      </c>
      <c r="H63" s="10"/>
      <c r="I63" s="10" t="s">
        <v>933</v>
      </c>
      <c r="J63" s="10"/>
      <c r="K63" s="10" t="s">
        <v>578</v>
      </c>
      <c r="L63" s="10" t="s">
        <v>140</v>
      </c>
      <c r="M63" s="10" t="s">
        <v>127</v>
      </c>
      <c r="N63" s="10"/>
    </row>
    <row r="64" spans="1:14" ht="42.75" x14ac:dyDescent="0.25">
      <c r="A64" s="10" t="s">
        <v>934</v>
      </c>
      <c r="B64" s="10" t="s">
        <v>197</v>
      </c>
      <c r="C64" s="10" t="s">
        <v>197</v>
      </c>
      <c r="D64" s="10" t="s">
        <v>935</v>
      </c>
      <c r="E64" s="10" t="s">
        <v>936</v>
      </c>
      <c r="F64" s="10" t="s">
        <v>937</v>
      </c>
      <c r="G64" s="10" t="s">
        <v>938</v>
      </c>
      <c r="H64" s="10" t="s">
        <v>939</v>
      </c>
      <c r="I64" s="10" t="s">
        <v>940</v>
      </c>
      <c r="J64" s="10"/>
      <c r="K64" s="10" t="s">
        <v>578</v>
      </c>
      <c r="L64" s="10" t="s">
        <v>126</v>
      </c>
      <c r="M64" s="10" t="s">
        <v>127</v>
      </c>
      <c r="N64" s="10"/>
    </row>
    <row r="65" spans="1:14" ht="28.5" x14ac:dyDescent="0.25">
      <c r="A65" s="10" t="s">
        <v>941</v>
      </c>
      <c r="B65" s="10" t="s">
        <v>197</v>
      </c>
      <c r="C65" s="10" t="s">
        <v>197</v>
      </c>
      <c r="D65" s="10" t="s">
        <v>942</v>
      </c>
      <c r="E65" s="10" t="s">
        <v>943</v>
      </c>
      <c r="F65" s="10" t="s">
        <v>881</v>
      </c>
      <c r="G65" s="10" t="s">
        <v>944</v>
      </c>
      <c r="H65" s="10" t="s">
        <v>945</v>
      </c>
      <c r="I65" s="10" t="s">
        <v>946</v>
      </c>
      <c r="J65" s="10"/>
      <c r="K65" s="10" t="s">
        <v>578</v>
      </c>
      <c r="L65" s="10" t="s">
        <v>140</v>
      </c>
      <c r="M65" s="10" t="s">
        <v>127</v>
      </c>
      <c r="N65" s="10"/>
    </row>
    <row r="66" spans="1:14" ht="28.5" x14ac:dyDescent="0.25">
      <c r="A66" s="10" t="s">
        <v>947</v>
      </c>
      <c r="B66" s="10" t="s">
        <v>197</v>
      </c>
      <c r="C66" s="10" t="s">
        <v>197</v>
      </c>
      <c r="D66" s="10" t="s">
        <v>948</v>
      </c>
      <c r="E66" s="10" t="s">
        <v>949</v>
      </c>
      <c r="F66" s="10" t="s">
        <v>950</v>
      </c>
      <c r="G66" s="10" t="s">
        <v>951</v>
      </c>
      <c r="H66" s="10" t="s">
        <v>952</v>
      </c>
      <c r="I66" s="10" t="s">
        <v>953</v>
      </c>
      <c r="J66" s="10"/>
      <c r="K66" s="10" t="s">
        <v>578</v>
      </c>
      <c r="L66" s="10" t="s">
        <v>140</v>
      </c>
      <c r="M66" s="10" t="s">
        <v>127</v>
      </c>
      <c r="N66" s="10"/>
    </row>
    <row r="67" spans="1:14" ht="42.75" x14ac:dyDescent="0.25">
      <c r="A67" s="10" t="s">
        <v>954</v>
      </c>
      <c r="B67" s="10" t="s">
        <v>197</v>
      </c>
      <c r="C67" s="10" t="s">
        <v>197</v>
      </c>
      <c r="D67" s="10" t="s">
        <v>955</v>
      </c>
      <c r="E67" s="10" t="s">
        <v>956</v>
      </c>
      <c r="F67" s="10" t="s">
        <v>957</v>
      </c>
      <c r="G67" s="10" t="s">
        <v>958</v>
      </c>
      <c r="H67" s="10"/>
      <c r="I67" s="10" t="s">
        <v>959</v>
      </c>
      <c r="J67" s="10"/>
      <c r="K67" s="10" t="s">
        <v>578</v>
      </c>
      <c r="L67" s="10" t="s">
        <v>126</v>
      </c>
      <c r="M67" s="10" t="s">
        <v>127</v>
      </c>
      <c r="N67" s="10"/>
    </row>
    <row r="68" spans="1:14" x14ac:dyDescent="0.25">
      <c r="A68" s="2" t="s">
        <v>490</v>
      </c>
      <c r="B68" s="2"/>
      <c r="C68" s="2"/>
      <c r="D68" s="2"/>
      <c r="E68" s="2"/>
      <c r="F68" s="2"/>
      <c r="G68" s="2"/>
      <c r="H68" s="2"/>
      <c r="I68" s="2"/>
      <c r="J68" s="2"/>
      <c r="K68" s="2"/>
      <c r="L68" s="2"/>
      <c r="M68" s="2"/>
      <c r="N68" s="2"/>
    </row>
    <row r="69" spans="1:14" ht="28.5" x14ac:dyDescent="0.25">
      <c r="A69" s="10" t="s">
        <v>960</v>
      </c>
      <c r="B69" s="10" t="s">
        <v>419</v>
      </c>
      <c r="C69" s="10" t="s">
        <v>223</v>
      </c>
      <c r="D69" s="10" t="s">
        <v>961</v>
      </c>
      <c r="E69" s="10" t="s">
        <v>962</v>
      </c>
      <c r="F69" s="10" t="s">
        <v>963</v>
      </c>
      <c r="G69" s="10" t="s">
        <v>964</v>
      </c>
      <c r="H69" s="10"/>
      <c r="I69" s="10" t="s">
        <v>965</v>
      </c>
      <c r="J69" s="10"/>
      <c r="K69" s="10" t="s">
        <v>578</v>
      </c>
      <c r="L69" s="10" t="s">
        <v>126</v>
      </c>
      <c r="M69" s="10" t="s">
        <v>127</v>
      </c>
      <c r="N69" s="10"/>
    </row>
    <row r="70" spans="1:14" ht="28.5" x14ac:dyDescent="0.25">
      <c r="A70" s="10" t="s">
        <v>966</v>
      </c>
      <c r="B70" s="10" t="s">
        <v>419</v>
      </c>
      <c r="C70" s="10" t="s">
        <v>223</v>
      </c>
      <c r="D70" s="10" t="s">
        <v>967</v>
      </c>
      <c r="E70" s="10" t="s">
        <v>968</v>
      </c>
      <c r="F70" s="10" t="s">
        <v>969</v>
      </c>
      <c r="G70" s="10" t="s">
        <v>970</v>
      </c>
      <c r="H70" s="10"/>
      <c r="I70" s="10" t="s">
        <v>971</v>
      </c>
      <c r="J70" s="10"/>
      <c r="K70" s="10" t="s">
        <v>578</v>
      </c>
      <c r="L70" s="10" t="s">
        <v>140</v>
      </c>
      <c r="M70" s="10" t="s">
        <v>127</v>
      </c>
      <c r="N70" s="10"/>
    </row>
    <row r="71" spans="1:14" ht="28.5" x14ac:dyDescent="0.25">
      <c r="A71" s="10" t="s">
        <v>367</v>
      </c>
      <c r="B71" s="10" t="s">
        <v>419</v>
      </c>
      <c r="C71" s="10" t="s">
        <v>227</v>
      </c>
      <c r="D71" s="10" t="s">
        <v>972</v>
      </c>
      <c r="E71" s="10" t="s">
        <v>973</v>
      </c>
      <c r="F71" s="10" t="s">
        <v>974</v>
      </c>
      <c r="G71" s="10" t="s">
        <v>975</v>
      </c>
      <c r="H71" s="10"/>
      <c r="I71" s="10" t="s">
        <v>976</v>
      </c>
      <c r="J71" s="10"/>
      <c r="K71" s="10" t="s">
        <v>578</v>
      </c>
      <c r="L71" s="10" t="s">
        <v>126</v>
      </c>
      <c r="M71" s="10" t="s">
        <v>127</v>
      </c>
      <c r="N71" s="10"/>
    </row>
    <row r="72" spans="1:14" ht="42.75" x14ac:dyDescent="0.25">
      <c r="A72" s="10" t="s">
        <v>977</v>
      </c>
      <c r="B72" s="10" t="s">
        <v>419</v>
      </c>
      <c r="C72" s="10" t="s">
        <v>231</v>
      </c>
      <c r="D72" s="10" t="s">
        <v>978</v>
      </c>
      <c r="E72" s="10" t="s">
        <v>979</v>
      </c>
      <c r="F72" s="10" t="s">
        <v>980</v>
      </c>
      <c r="G72" s="10" t="s">
        <v>981</v>
      </c>
      <c r="H72" s="10"/>
      <c r="I72" s="10" t="s">
        <v>982</v>
      </c>
      <c r="J72" s="10"/>
      <c r="K72" s="10" t="s">
        <v>578</v>
      </c>
      <c r="L72" s="10" t="s">
        <v>140</v>
      </c>
      <c r="M72" s="10" t="s">
        <v>127</v>
      </c>
      <c r="N72" s="10"/>
    </row>
    <row r="73" spans="1:14" ht="28.5" x14ac:dyDescent="0.25">
      <c r="A73" s="10" t="s">
        <v>983</v>
      </c>
      <c r="B73" s="10" t="s">
        <v>419</v>
      </c>
      <c r="C73" s="10" t="s">
        <v>231</v>
      </c>
      <c r="D73" s="10" t="s">
        <v>984</v>
      </c>
      <c r="E73" s="10" t="s">
        <v>985</v>
      </c>
      <c r="F73" s="10" t="s">
        <v>986</v>
      </c>
      <c r="G73" s="10" t="s">
        <v>987</v>
      </c>
      <c r="H73" s="10"/>
      <c r="I73" s="10" t="s">
        <v>988</v>
      </c>
      <c r="J73" s="10"/>
      <c r="K73" s="10" t="s">
        <v>578</v>
      </c>
      <c r="L73" s="10" t="s">
        <v>140</v>
      </c>
      <c r="M73" s="10" t="s">
        <v>127</v>
      </c>
      <c r="N73" s="10"/>
    </row>
    <row r="74" spans="1:14" ht="28.5" x14ac:dyDescent="0.25">
      <c r="A74" s="10" t="s">
        <v>989</v>
      </c>
      <c r="B74" s="10" t="s">
        <v>419</v>
      </c>
      <c r="C74" s="10" t="s">
        <v>235</v>
      </c>
      <c r="D74" s="10" t="s">
        <v>990</v>
      </c>
      <c r="E74" s="10" t="s">
        <v>991</v>
      </c>
      <c r="F74" s="10" t="s">
        <v>619</v>
      </c>
      <c r="G74" s="10" t="s">
        <v>992</v>
      </c>
      <c r="H74" s="10"/>
      <c r="I74" s="10" t="s">
        <v>993</v>
      </c>
      <c r="J74" s="10"/>
      <c r="K74" s="10" t="s">
        <v>578</v>
      </c>
      <c r="L74" s="10" t="s">
        <v>126</v>
      </c>
      <c r="M74" s="10" t="s">
        <v>127</v>
      </c>
      <c r="N74" s="10"/>
    </row>
    <row r="75" spans="1:14" ht="28.5" x14ac:dyDescent="0.25">
      <c r="A75" s="10" t="s">
        <v>994</v>
      </c>
      <c r="B75" s="10" t="s">
        <v>419</v>
      </c>
      <c r="C75" s="10" t="s">
        <v>235</v>
      </c>
      <c r="D75" s="10" t="s">
        <v>995</v>
      </c>
      <c r="E75" s="10" t="s">
        <v>996</v>
      </c>
      <c r="F75" s="10" t="s">
        <v>997</v>
      </c>
      <c r="G75" s="10" t="s">
        <v>998</v>
      </c>
      <c r="H75" s="10" t="s">
        <v>999</v>
      </c>
      <c r="I75" s="10" t="s">
        <v>1000</v>
      </c>
      <c r="J75" s="10"/>
      <c r="K75" s="10" t="s">
        <v>578</v>
      </c>
      <c r="L75" s="10" t="s">
        <v>126</v>
      </c>
      <c r="M75" s="10" t="s">
        <v>127</v>
      </c>
      <c r="N75" s="10"/>
    </row>
    <row r="76" spans="1:14" ht="42.75" x14ac:dyDescent="0.25">
      <c r="A76" s="10" t="s">
        <v>1001</v>
      </c>
      <c r="B76" s="10" t="s">
        <v>419</v>
      </c>
      <c r="C76" s="10" t="s">
        <v>235</v>
      </c>
      <c r="D76" s="10" t="s">
        <v>1002</v>
      </c>
      <c r="E76" s="10" t="s">
        <v>1003</v>
      </c>
      <c r="F76" s="10" t="s">
        <v>980</v>
      </c>
      <c r="G76" s="10" t="s">
        <v>1004</v>
      </c>
      <c r="H76" s="10" t="s">
        <v>1005</v>
      </c>
      <c r="I76" s="10" t="s">
        <v>1006</v>
      </c>
      <c r="J76" s="10"/>
      <c r="K76" s="10" t="s">
        <v>578</v>
      </c>
      <c r="L76" s="10" t="s">
        <v>126</v>
      </c>
      <c r="M76" s="10" t="s">
        <v>127</v>
      </c>
      <c r="N76" s="10"/>
    </row>
    <row r="77" spans="1:14" ht="42.75" x14ac:dyDescent="0.25">
      <c r="A77" s="10" t="s">
        <v>1007</v>
      </c>
      <c r="B77" s="10" t="s">
        <v>419</v>
      </c>
      <c r="C77" s="10" t="s">
        <v>235</v>
      </c>
      <c r="D77" s="10" t="s">
        <v>1008</v>
      </c>
      <c r="E77" s="10" t="s">
        <v>1009</v>
      </c>
      <c r="F77" s="10" t="s">
        <v>1010</v>
      </c>
      <c r="G77" s="10" t="s">
        <v>1011</v>
      </c>
      <c r="H77" s="10"/>
      <c r="I77" s="10" t="s">
        <v>1012</v>
      </c>
      <c r="J77" s="10"/>
      <c r="K77" s="10" t="s">
        <v>578</v>
      </c>
      <c r="L77" s="10" t="s">
        <v>126</v>
      </c>
      <c r="M77" s="10" t="s">
        <v>127</v>
      </c>
      <c r="N77" s="10"/>
    </row>
    <row r="78" spans="1:14" ht="42.75" x14ac:dyDescent="0.25">
      <c r="A78" s="10" t="s">
        <v>1013</v>
      </c>
      <c r="B78" s="10" t="s">
        <v>419</v>
      </c>
      <c r="C78" s="10" t="s">
        <v>239</v>
      </c>
      <c r="D78" s="10" t="s">
        <v>1014</v>
      </c>
      <c r="E78" s="10" t="s">
        <v>1015</v>
      </c>
      <c r="F78" s="10" t="s">
        <v>1016</v>
      </c>
      <c r="G78" s="10" t="s">
        <v>1017</v>
      </c>
      <c r="H78" s="10"/>
      <c r="I78" s="10" t="s">
        <v>1018</v>
      </c>
      <c r="J78" s="10"/>
      <c r="K78" s="10" t="s">
        <v>578</v>
      </c>
      <c r="L78" s="10" t="s">
        <v>140</v>
      </c>
      <c r="M78" s="10" t="s">
        <v>127</v>
      </c>
      <c r="N78" s="10"/>
    </row>
    <row r="79" spans="1:14" ht="28.5" x14ac:dyDescent="0.25">
      <c r="A79" s="10" t="s">
        <v>1019</v>
      </c>
      <c r="B79" s="10" t="s">
        <v>419</v>
      </c>
      <c r="C79" s="10" t="s">
        <v>239</v>
      </c>
      <c r="D79" s="10" t="s">
        <v>1020</v>
      </c>
      <c r="E79" s="10" t="s">
        <v>1021</v>
      </c>
      <c r="F79" s="10" t="s">
        <v>1022</v>
      </c>
      <c r="G79" s="10" t="s">
        <v>1023</v>
      </c>
      <c r="H79" s="10"/>
      <c r="I79" s="10" t="s">
        <v>1024</v>
      </c>
      <c r="J79" s="10"/>
      <c r="K79" s="10" t="s">
        <v>578</v>
      </c>
      <c r="L79" s="10" t="s">
        <v>140</v>
      </c>
      <c r="M79" s="10" t="s">
        <v>127</v>
      </c>
      <c r="N79" s="10"/>
    </row>
    <row r="80" spans="1:14" ht="28.5" x14ac:dyDescent="0.25">
      <c r="A80" s="10" t="s">
        <v>1025</v>
      </c>
      <c r="B80" s="10" t="s">
        <v>419</v>
      </c>
      <c r="C80" s="10" t="s">
        <v>235</v>
      </c>
      <c r="D80" s="10" t="s">
        <v>1026</v>
      </c>
      <c r="E80" s="10" t="s">
        <v>1027</v>
      </c>
      <c r="F80" s="10" t="s">
        <v>1028</v>
      </c>
      <c r="G80" s="10" t="s">
        <v>1029</v>
      </c>
      <c r="H80" s="10" t="s">
        <v>1030</v>
      </c>
      <c r="I80" s="10" t="s">
        <v>1031</v>
      </c>
      <c r="J80" s="10"/>
      <c r="K80" s="10" t="s">
        <v>578</v>
      </c>
      <c r="L80" s="10" t="s">
        <v>140</v>
      </c>
      <c r="M80" s="10" t="s">
        <v>127</v>
      </c>
      <c r="N80" s="10"/>
    </row>
    <row r="81" spans="1:14" ht="28.5" x14ac:dyDescent="0.25">
      <c r="A81" s="10" t="s">
        <v>1032</v>
      </c>
      <c r="B81" s="10" t="s">
        <v>419</v>
      </c>
      <c r="C81" s="10" t="s">
        <v>235</v>
      </c>
      <c r="D81" s="10" t="s">
        <v>1033</v>
      </c>
      <c r="E81" s="10" t="s">
        <v>1034</v>
      </c>
      <c r="F81" s="10" t="s">
        <v>1035</v>
      </c>
      <c r="G81" s="10" t="s">
        <v>1036</v>
      </c>
      <c r="H81" s="10"/>
      <c r="I81" s="10" t="s">
        <v>1037</v>
      </c>
      <c r="J81" s="10"/>
      <c r="K81" s="10" t="s">
        <v>578</v>
      </c>
      <c r="L81" s="10" t="s">
        <v>140</v>
      </c>
      <c r="M81" s="10" t="s">
        <v>127</v>
      </c>
      <c r="N81" s="10"/>
    </row>
    <row r="82" spans="1:14" ht="28.5" x14ac:dyDescent="0.25">
      <c r="A82" s="10" t="s">
        <v>1038</v>
      </c>
      <c r="B82" s="10" t="s">
        <v>419</v>
      </c>
      <c r="C82" s="10" t="s">
        <v>223</v>
      </c>
      <c r="D82" s="10" t="s">
        <v>1039</v>
      </c>
      <c r="E82" s="10" t="s">
        <v>1040</v>
      </c>
      <c r="F82" s="10" t="s">
        <v>1041</v>
      </c>
      <c r="G82" s="10" t="s">
        <v>1042</v>
      </c>
      <c r="H82" s="10"/>
      <c r="I82" s="10" t="s">
        <v>1043</v>
      </c>
      <c r="J82" s="10"/>
      <c r="K82" s="10" t="s">
        <v>578</v>
      </c>
      <c r="L82" s="10" t="s">
        <v>126</v>
      </c>
      <c r="M82" s="10" t="s">
        <v>127</v>
      </c>
      <c r="N82" s="10"/>
    </row>
    <row r="83" spans="1:14" x14ac:dyDescent="0.25">
      <c r="A83" s="2" t="s">
        <v>1044</v>
      </c>
      <c r="B83" s="2"/>
      <c r="C83" s="2"/>
      <c r="D83" s="2"/>
      <c r="E83" s="2"/>
      <c r="F83" s="2"/>
      <c r="G83" s="2"/>
      <c r="H83" s="2"/>
      <c r="I83" s="2"/>
      <c r="J83" s="2"/>
      <c r="K83" s="2"/>
      <c r="L83" s="2"/>
      <c r="M83" s="2"/>
      <c r="N83" s="2"/>
    </row>
    <row r="84" spans="1:14" ht="57" x14ac:dyDescent="0.25">
      <c r="A84" s="10" t="s">
        <v>1045</v>
      </c>
      <c r="B84" s="10" t="s">
        <v>243</v>
      </c>
      <c r="C84" s="10" t="s">
        <v>244</v>
      </c>
      <c r="D84" s="10" t="s">
        <v>1046</v>
      </c>
      <c r="E84" s="10" t="s">
        <v>1047</v>
      </c>
      <c r="F84" s="10" t="s">
        <v>619</v>
      </c>
      <c r="G84" s="10" t="s">
        <v>1048</v>
      </c>
      <c r="H84" s="10" t="s">
        <v>1049</v>
      </c>
      <c r="I84" s="10" t="s">
        <v>1050</v>
      </c>
      <c r="J84" s="10"/>
      <c r="K84" s="10" t="s">
        <v>578</v>
      </c>
      <c r="L84" s="10" t="s">
        <v>126</v>
      </c>
      <c r="M84" s="10" t="s">
        <v>127</v>
      </c>
      <c r="N84" s="10"/>
    </row>
    <row r="85" spans="1:14" ht="42.75" x14ac:dyDescent="0.25">
      <c r="A85" s="10" t="s">
        <v>1051</v>
      </c>
      <c r="B85" s="10" t="s">
        <v>243</v>
      </c>
      <c r="C85" s="10" t="s">
        <v>244</v>
      </c>
      <c r="D85" s="10" t="s">
        <v>1052</v>
      </c>
      <c r="E85" s="10" t="s">
        <v>1053</v>
      </c>
      <c r="F85" s="10" t="s">
        <v>619</v>
      </c>
      <c r="G85" s="10" t="s">
        <v>1054</v>
      </c>
      <c r="H85" s="10" t="s">
        <v>1055</v>
      </c>
      <c r="I85" s="10" t="s">
        <v>1056</v>
      </c>
      <c r="J85" s="10"/>
      <c r="K85" s="10" t="s">
        <v>578</v>
      </c>
      <c r="L85" s="10" t="s">
        <v>126</v>
      </c>
      <c r="M85" s="10" t="s">
        <v>127</v>
      </c>
      <c r="N85" s="10"/>
    </row>
    <row r="86" spans="1:14" ht="42.75" x14ac:dyDescent="0.25">
      <c r="A86" s="10" t="s">
        <v>1057</v>
      </c>
      <c r="B86" s="10" t="s">
        <v>243</v>
      </c>
      <c r="C86" s="10" t="s">
        <v>244</v>
      </c>
      <c r="D86" s="10" t="s">
        <v>1058</v>
      </c>
      <c r="E86" s="10" t="s">
        <v>1059</v>
      </c>
      <c r="F86" s="10" t="s">
        <v>619</v>
      </c>
      <c r="G86" s="10" t="s">
        <v>1060</v>
      </c>
      <c r="H86" s="10" t="s">
        <v>1061</v>
      </c>
      <c r="I86" s="10" t="s">
        <v>1062</v>
      </c>
      <c r="J86" s="10"/>
      <c r="K86" s="10" t="s">
        <v>578</v>
      </c>
      <c r="L86" s="10" t="s">
        <v>126</v>
      </c>
      <c r="M86" s="10" t="s">
        <v>127</v>
      </c>
      <c r="N86" s="10"/>
    </row>
    <row r="87" spans="1:14" ht="28.5" x14ac:dyDescent="0.25">
      <c r="A87" s="10" t="s">
        <v>1063</v>
      </c>
      <c r="B87" s="10" t="s">
        <v>243</v>
      </c>
      <c r="C87" s="10" t="s">
        <v>244</v>
      </c>
      <c r="D87" s="10" t="s">
        <v>1064</v>
      </c>
      <c r="E87" s="10" t="s">
        <v>1065</v>
      </c>
      <c r="F87" s="10" t="s">
        <v>619</v>
      </c>
      <c r="G87" s="10" t="s">
        <v>1066</v>
      </c>
      <c r="H87" s="10" t="s">
        <v>1067</v>
      </c>
      <c r="I87" s="10" t="s">
        <v>1068</v>
      </c>
      <c r="J87" s="10"/>
      <c r="K87" s="10" t="s">
        <v>578</v>
      </c>
      <c r="L87" s="10" t="s">
        <v>140</v>
      </c>
      <c r="M87" s="10" t="s">
        <v>127</v>
      </c>
      <c r="N87" s="10"/>
    </row>
    <row r="88" spans="1:14" ht="57" x14ac:dyDescent="0.25">
      <c r="A88" s="10" t="s">
        <v>1069</v>
      </c>
      <c r="B88" s="10" t="s">
        <v>243</v>
      </c>
      <c r="C88" s="10" t="s">
        <v>244</v>
      </c>
      <c r="D88" s="10" t="s">
        <v>1070</v>
      </c>
      <c r="E88" s="10" t="s">
        <v>1071</v>
      </c>
      <c r="F88" s="10" t="s">
        <v>619</v>
      </c>
      <c r="G88" s="10" t="s">
        <v>1072</v>
      </c>
      <c r="H88" s="10" t="s">
        <v>1073</v>
      </c>
      <c r="I88" s="10" t="s">
        <v>1074</v>
      </c>
      <c r="J88" s="10"/>
      <c r="K88" s="10" t="s">
        <v>578</v>
      </c>
      <c r="L88" s="10" t="s">
        <v>126</v>
      </c>
      <c r="M88" s="10" t="s">
        <v>127</v>
      </c>
      <c r="N88" s="10"/>
    </row>
    <row r="89" spans="1:14" ht="42.75" x14ac:dyDescent="0.25">
      <c r="A89" s="10" t="s">
        <v>1075</v>
      </c>
      <c r="B89" s="10" t="s">
        <v>243</v>
      </c>
      <c r="C89" s="10" t="s">
        <v>248</v>
      </c>
      <c r="D89" s="10" t="s">
        <v>1076</v>
      </c>
      <c r="E89" s="10" t="s">
        <v>1077</v>
      </c>
      <c r="F89" s="10" t="s">
        <v>750</v>
      </c>
      <c r="G89" s="10" t="s">
        <v>1078</v>
      </c>
      <c r="H89" s="10" t="s">
        <v>1079</v>
      </c>
      <c r="I89" s="10" t="s">
        <v>1080</v>
      </c>
      <c r="J89" s="10"/>
      <c r="K89" s="10" t="s">
        <v>578</v>
      </c>
      <c r="L89" s="10" t="s">
        <v>126</v>
      </c>
      <c r="M89" s="10" t="s">
        <v>127</v>
      </c>
      <c r="N89" s="10"/>
    </row>
    <row r="90" spans="1:14" ht="42.75" x14ac:dyDescent="0.25">
      <c r="A90" s="10" t="s">
        <v>1081</v>
      </c>
      <c r="B90" s="10" t="s">
        <v>243</v>
      </c>
      <c r="C90" s="10" t="s">
        <v>248</v>
      </c>
      <c r="D90" s="10" t="s">
        <v>1082</v>
      </c>
      <c r="E90" s="10" t="s">
        <v>1083</v>
      </c>
      <c r="F90" s="10" t="s">
        <v>750</v>
      </c>
      <c r="G90" s="10" t="s">
        <v>1084</v>
      </c>
      <c r="H90" s="10" t="s">
        <v>1085</v>
      </c>
      <c r="I90" s="10" t="s">
        <v>1086</v>
      </c>
      <c r="J90" s="10"/>
      <c r="K90" s="10" t="s">
        <v>578</v>
      </c>
      <c r="L90" s="10" t="s">
        <v>126</v>
      </c>
      <c r="M90" s="10" t="s">
        <v>127</v>
      </c>
      <c r="N90" s="10"/>
    </row>
    <row r="91" spans="1:14" ht="42.75" x14ac:dyDescent="0.25">
      <c r="A91" s="10" t="s">
        <v>1087</v>
      </c>
      <c r="B91" s="10" t="s">
        <v>243</v>
      </c>
      <c r="C91" s="10" t="s">
        <v>248</v>
      </c>
      <c r="D91" s="10" t="s">
        <v>1088</v>
      </c>
      <c r="E91" s="10" t="s">
        <v>1089</v>
      </c>
      <c r="F91" s="10" t="s">
        <v>750</v>
      </c>
      <c r="G91" s="10" t="s">
        <v>1090</v>
      </c>
      <c r="H91" s="10" t="s">
        <v>1091</v>
      </c>
      <c r="I91" s="10" t="s">
        <v>1092</v>
      </c>
      <c r="J91" s="10"/>
      <c r="K91" s="10" t="s">
        <v>578</v>
      </c>
      <c r="L91" s="10" t="s">
        <v>126</v>
      </c>
      <c r="M91" s="10" t="s">
        <v>127</v>
      </c>
      <c r="N91" s="10"/>
    </row>
    <row r="92" spans="1:14" ht="57" x14ac:dyDescent="0.25">
      <c r="A92" s="10" t="s">
        <v>379</v>
      </c>
      <c r="B92" s="10" t="s">
        <v>243</v>
      </c>
      <c r="C92" s="10" t="s">
        <v>252</v>
      </c>
      <c r="D92" s="10" t="s">
        <v>1093</v>
      </c>
      <c r="E92" s="10" t="s">
        <v>253</v>
      </c>
      <c r="F92" s="10" t="s">
        <v>750</v>
      </c>
      <c r="G92" s="10" t="s">
        <v>1094</v>
      </c>
      <c r="H92" s="10"/>
      <c r="I92" s="10" t="s">
        <v>1095</v>
      </c>
      <c r="J92" s="10"/>
      <c r="K92" s="10" t="s">
        <v>578</v>
      </c>
      <c r="L92" s="10" t="s">
        <v>140</v>
      </c>
      <c r="M92" s="10" t="s">
        <v>127</v>
      </c>
      <c r="N92" s="10"/>
    </row>
    <row r="93" spans="1:14" ht="42.75" x14ac:dyDescent="0.25">
      <c r="A93" s="10" t="s">
        <v>1096</v>
      </c>
      <c r="B93" s="10" t="s">
        <v>243</v>
      </c>
      <c r="C93" s="10" t="s">
        <v>256</v>
      </c>
      <c r="D93" s="10" t="s">
        <v>1097</v>
      </c>
      <c r="E93" s="10" t="s">
        <v>1098</v>
      </c>
      <c r="F93" s="10" t="s">
        <v>750</v>
      </c>
      <c r="G93" s="10" t="s">
        <v>1099</v>
      </c>
      <c r="H93" s="10" t="s">
        <v>1100</v>
      </c>
      <c r="I93" s="10" t="s">
        <v>1101</v>
      </c>
      <c r="J93" s="10"/>
      <c r="K93" s="10" t="s">
        <v>578</v>
      </c>
      <c r="L93" s="10" t="s">
        <v>126</v>
      </c>
      <c r="M93" s="10" t="s">
        <v>127</v>
      </c>
      <c r="N93" s="10"/>
    </row>
    <row r="94" spans="1:14" ht="28.5" x14ac:dyDescent="0.25">
      <c r="A94" s="10" t="s">
        <v>1102</v>
      </c>
      <c r="B94" s="10" t="s">
        <v>243</v>
      </c>
      <c r="C94" s="10" t="s">
        <v>256</v>
      </c>
      <c r="D94" s="10" t="s">
        <v>1103</v>
      </c>
      <c r="E94" s="10" t="s">
        <v>1104</v>
      </c>
      <c r="F94" s="10" t="s">
        <v>1105</v>
      </c>
      <c r="G94" s="10" t="s">
        <v>1106</v>
      </c>
      <c r="H94" s="10" t="s">
        <v>1107</v>
      </c>
      <c r="I94" s="10" t="s">
        <v>1108</v>
      </c>
      <c r="J94" s="10"/>
      <c r="K94" s="10" t="s">
        <v>578</v>
      </c>
      <c r="L94" s="10" t="s">
        <v>140</v>
      </c>
      <c r="M94" s="10" t="s">
        <v>127</v>
      </c>
      <c r="N94" s="10"/>
    </row>
    <row r="95" spans="1:14" ht="57" x14ac:dyDescent="0.25">
      <c r="A95" s="10" t="s">
        <v>1109</v>
      </c>
      <c r="B95" s="10" t="s">
        <v>243</v>
      </c>
      <c r="C95" s="10" t="s">
        <v>260</v>
      </c>
      <c r="D95" s="10" t="s">
        <v>1110</v>
      </c>
      <c r="E95" s="10" t="s">
        <v>1111</v>
      </c>
      <c r="F95" s="10" t="s">
        <v>619</v>
      </c>
      <c r="G95" s="10" t="s">
        <v>1112</v>
      </c>
      <c r="H95" s="10" t="s">
        <v>1113</v>
      </c>
      <c r="I95" s="10" t="s">
        <v>1114</v>
      </c>
      <c r="J95" s="10"/>
      <c r="K95" s="10" t="s">
        <v>578</v>
      </c>
      <c r="L95" s="10" t="s">
        <v>126</v>
      </c>
      <c r="M95" s="10" t="s">
        <v>127</v>
      </c>
      <c r="N95" s="10"/>
    </row>
    <row r="96" spans="1:14" ht="42.75" x14ac:dyDescent="0.25">
      <c r="A96" s="10" t="s">
        <v>1115</v>
      </c>
      <c r="B96" s="10" t="s">
        <v>243</v>
      </c>
      <c r="C96" s="10" t="s">
        <v>260</v>
      </c>
      <c r="D96" s="10" t="s">
        <v>1116</v>
      </c>
      <c r="E96" s="10" t="s">
        <v>1117</v>
      </c>
      <c r="F96" s="10" t="s">
        <v>1118</v>
      </c>
      <c r="G96" s="10" t="s">
        <v>1119</v>
      </c>
      <c r="H96" s="10" t="s">
        <v>1120</v>
      </c>
      <c r="I96" s="10" t="s">
        <v>1121</v>
      </c>
      <c r="J96" s="10"/>
      <c r="K96" s="10" t="s">
        <v>578</v>
      </c>
      <c r="L96" s="10" t="s">
        <v>140</v>
      </c>
      <c r="M96" s="10" t="s">
        <v>127</v>
      </c>
      <c r="N96" s="10"/>
    </row>
    <row r="97" spans="1:14" ht="28.5" x14ac:dyDescent="0.25">
      <c r="A97" s="10" t="s">
        <v>1122</v>
      </c>
      <c r="B97" s="10" t="s">
        <v>243</v>
      </c>
      <c r="C97" s="10" t="s">
        <v>260</v>
      </c>
      <c r="D97" s="10" t="s">
        <v>1123</v>
      </c>
      <c r="E97" s="10" t="s">
        <v>1124</v>
      </c>
      <c r="F97" s="10" t="s">
        <v>1125</v>
      </c>
      <c r="G97" s="10" t="s">
        <v>1126</v>
      </c>
      <c r="H97" s="10"/>
      <c r="I97" s="10" t="s">
        <v>1127</v>
      </c>
      <c r="J97" s="10"/>
      <c r="K97" s="10" t="s">
        <v>578</v>
      </c>
      <c r="L97" s="10" t="s">
        <v>140</v>
      </c>
      <c r="M97" s="10" t="s">
        <v>127</v>
      </c>
      <c r="N97" s="10"/>
    </row>
    <row r="98" spans="1:14" ht="42.75" x14ac:dyDescent="0.25">
      <c r="A98" s="10" t="s">
        <v>1128</v>
      </c>
      <c r="B98" s="10" t="s">
        <v>243</v>
      </c>
      <c r="C98" s="10" t="s">
        <v>260</v>
      </c>
      <c r="D98" s="10" t="s">
        <v>1129</v>
      </c>
      <c r="E98" s="10" t="s">
        <v>1130</v>
      </c>
      <c r="F98" s="10" t="s">
        <v>1131</v>
      </c>
      <c r="G98" s="10" t="s">
        <v>1132</v>
      </c>
      <c r="H98" s="10" t="s">
        <v>1133</v>
      </c>
      <c r="I98" s="10" t="s">
        <v>1134</v>
      </c>
      <c r="J98" s="10"/>
      <c r="K98" s="10" t="s">
        <v>578</v>
      </c>
      <c r="L98" s="10" t="s">
        <v>140</v>
      </c>
      <c r="M98" s="10" t="s">
        <v>127</v>
      </c>
      <c r="N98" s="10"/>
    </row>
    <row r="99" spans="1:14" ht="71.25" x14ac:dyDescent="0.25">
      <c r="A99" s="10" t="s">
        <v>1135</v>
      </c>
      <c r="B99" s="10" t="s">
        <v>243</v>
      </c>
      <c r="C99" s="10" t="s">
        <v>264</v>
      </c>
      <c r="D99" s="10" t="s">
        <v>1136</v>
      </c>
      <c r="E99" s="10" t="s">
        <v>1137</v>
      </c>
      <c r="F99" s="10" t="s">
        <v>619</v>
      </c>
      <c r="G99" s="10" t="s">
        <v>1138</v>
      </c>
      <c r="H99" s="10" t="s">
        <v>1139</v>
      </c>
      <c r="I99" s="10" t="s">
        <v>1140</v>
      </c>
      <c r="J99" s="10"/>
      <c r="K99" s="10" t="s">
        <v>578</v>
      </c>
      <c r="L99" s="10" t="s">
        <v>140</v>
      </c>
      <c r="M99" s="10" t="s">
        <v>127</v>
      </c>
      <c r="N99" s="10"/>
    </row>
    <row r="100" spans="1:14" ht="57" x14ac:dyDescent="0.25">
      <c r="A100" s="10" t="s">
        <v>1141</v>
      </c>
      <c r="B100" s="10" t="s">
        <v>243</v>
      </c>
      <c r="C100" s="10" t="s">
        <v>264</v>
      </c>
      <c r="D100" s="10" t="s">
        <v>1142</v>
      </c>
      <c r="E100" s="10" t="s">
        <v>1143</v>
      </c>
      <c r="F100" s="10" t="s">
        <v>1144</v>
      </c>
      <c r="G100" s="10" t="s">
        <v>1145</v>
      </c>
      <c r="H100" s="10" t="s">
        <v>1146</v>
      </c>
      <c r="I100" s="10" t="s">
        <v>1147</v>
      </c>
      <c r="J100" s="10"/>
      <c r="K100" s="10" t="s">
        <v>578</v>
      </c>
      <c r="L100" s="10" t="s">
        <v>140</v>
      </c>
      <c r="M100" s="10" t="s">
        <v>127</v>
      </c>
      <c r="N100" s="10"/>
    </row>
    <row r="101" spans="1:14" ht="42.75" x14ac:dyDescent="0.25">
      <c r="A101" s="10" t="s">
        <v>1148</v>
      </c>
      <c r="B101" s="10" t="s">
        <v>243</v>
      </c>
      <c r="C101" s="10" t="s">
        <v>244</v>
      </c>
      <c r="D101" s="10" t="s">
        <v>1149</v>
      </c>
      <c r="E101" s="10" t="s">
        <v>1150</v>
      </c>
      <c r="F101" s="10" t="s">
        <v>1151</v>
      </c>
      <c r="G101" s="10" t="s">
        <v>1152</v>
      </c>
      <c r="H101" s="10" t="s">
        <v>1153</v>
      </c>
      <c r="I101" s="10" t="s">
        <v>1154</v>
      </c>
      <c r="J101" s="10"/>
      <c r="K101" s="10" t="s">
        <v>578</v>
      </c>
      <c r="L101" s="10" t="s">
        <v>140</v>
      </c>
      <c r="M101" s="10" t="s">
        <v>127</v>
      </c>
      <c r="N101" s="10"/>
    </row>
    <row r="102" spans="1:14" x14ac:dyDescent="0.25">
      <c r="A102" s="2" t="s">
        <v>1155</v>
      </c>
      <c r="B102" s="2"/>
      <c r="C102" s="2"/>
      <c r="D102" s="2"/>
      <c r="E102" s="2"/>
      <c r="F102" s="2"/>
      <c r="G102" s="2"/>
      <c r="H102" s="2"/>
      <c r="I102" s="2"/>
      <c r="J102" s="2"/>
      <c r="K102" s="2"/>
      <c r="L102" s="2"/>
      <c r="M102" s="2"/>
      <c r="N102" s="2"/>
    </row>
    <row r="103" spans="1:14" ht="28.5" x14ac:dyDescent="0.25">
      <c r="A103" s="10" t="s">
        <v>1156</v>
      </c>
      <c r="B103" s="10" t="s">
        <v>1157</v>
      </c>
      <c r="C103" s="10" t="s">
        <v>517</v>
      </c>
      <c r="D103" s="10" t="s">
        <v>1158</v>
      </c>
      <c r="E103" s="10" t="s">
        <v>1159</v>
      </c>
      <c r="F103" s="10" t="s">
        <v>1028</v>
      </c>
      <c r="G103" s="10" t="s">
        <v>1160</v>
      </c>
      <c r="H103" s="10"/>
      <c r="I103" s="10" t="s">
        <v>1161</v>
      </c>
      <c r="J103" s="10"/>
      <c r="K103" s="10" t="s">
        <v>578</v>
      </c>
      <c r="L103" s="10" t="s">
        <v>126</v>
      </c>
      <c r="M103" s="10" t="s">
        <v>127</v>
      </c>
      <c r="N103" s="10"/>
    </row>
    <row r="104" spans="1:14" ht="28.5" x14ac:dyDescent="0.25">
      <c r="A104" s="10" t="s">
        <v>1162</v>
      </c>
      <c r="B104" s="10" t="s">
        <v>1157</v>
      </c>
      <c r="C104" s="10" t="s">
        <v>517</v>
      </c>
      <c r="D104" s="10" t="s">
        <v>1163</v>
      </c>
      <c r="E104" s="10" t="s">
        <v>1164</v>
      </c>
      <c r="F104" s="10" t="s">
        <v>1165</v>
      </c>
      <c r="G104" s="10" t="s">
        <v>1166</v>
      </c>
      <c r="H104" s="10" t="s">
        <v>1167</v>
      </c>
      <c r="I104" s="10" t="s">
        <v>1168</v>
      </c>
      <c r="J104" s="10"/>
      <c r="K104" s="10" t="s">
        <v>578</v>
      </c>
      <c r="L104" s="10" t="s">
        <v>140</v>
      </c>
      <c r="M104" s="10" t="s">
        <v>127</v>
      </c>
      <c r="N104" s="10"/>
    </row>
    <row r="105" spans="1:14" ht="42.75" x14ac:dyDescent="0.25">
      <c r="A105" s="10" t="s">
        <v>1169</v>
      </c>
      <c r="B105" s="10" t="s">
        <v>1157</v>
      </c>
      <c r="C105" s="10" t="s">
        <v>517</v>
      </c>
      <c r="D105" s="10" t="s">
        <v>1170</v>
      </c>
      <c r="E105" s="10" t="s">
        <v>1171</v>
      </c>
      <c r="F105" s="10" t="s">
        <v>1165</v>
      </c>
      <c r="G105" s="10" t="s">
        <v>1172</v>
      </c>
      <c r="H105" s="10" t="s">
        <v>640</v>
      </c>
      <c r="I105" s="10" t="s">
        <v>1173</v>
      </c>
      <c r="J105" s="10"/>
      <c r="K105" s="10" t="s">
        <v>578</v>
      </c>
      <c r="L105" s="10" t="s">
        <v>140</v>
      </c>
      <c r="M105" s="10" t="s">
        <v>127</v>
      </c>
      <c r="N105" s="10"/>
    </row>
    <row r="106" spans="1:14" ht="42.75" x14ac:dyDescent="0.25">
      <c r="A106" s="10" t="s">
        <v>525</v>
      </c>
      <c r="B106" s="10" t="s">
        <v>1157</v>
      </c>
      <c r="C106" s="10" t="s">
        <v>522</v>
      </c>
      <c r="D106" s="10" t="s">
        <v>1174</v>
      </c>
      <c r="E106" s="10" t="s">
        <v>1175</v>
      </c>
      <c r="F106" s="10" t="s">
        <v>1010</v>
      </c>
      <c r="G106" s="10" t="s">
        <v>1176</v>
      </c>
      <c r="H106" s="10" t="s">
        <v>1177</v>
      </c>
      <c r="I106" s="10" t="s">
        <v>1178</v>
      </c>
      <c r="J106" s="10"/>
      <c r="K106" s="10" t="s">
        <v>578</v>
      </c>
      <c r="L106" s="10" t="s">
        <v>126</v>
      </c>
      <c r="M106" s="10" t="s">
        <v>127</v>
      </c>
      <c r="N106" s="10"/>
    </row>
    <row r="107" spans="1:14" ht="42.75" x14ac:dyDescent="0.25">
      <c r="A107" s="10" t="s">
        <v>1179</v>
      </c>
      <c r="B107" s="10" t="s">
        <v>1157</v>
      </c>
      <c r="C107" s="10" t="s">
        <v>499</v>
      </c>
      <c r="D107" s="10" t="s">
        <v>1180</v>
      </c>
      <c r="E107" s="10" t="s">
        <v>1181</v>
      </c>
      <c r="F107" s="10" t="s">
        <v>1182</v>
      </c>
      <c r="G107" s="10" t="s">
        <v>1183</v>
      </c>
      <c r="H107" s="10"/>
      <c r="I107" s="10" t="s">
        <v>1184</v>
      </c>
      <c r="J107" s="10"/>
      <c r="K107" s="10" t="s">
        <v>578</v>
      </c>
      <c r="L107" s="10" t="s">
        <v>126</v>
      </c>
      <c r="M107" s="10" t="s">
        <v>127</v>
      </c>
      <c r="N107" s="10"/>
    </row>
    <row r="108" spans="1:14" ht="28.5" x14ac:dyDescent="0.25">
      <c r="A108" s="10" t="s">
        <v>1185</v>
      </c>
      <c r="B108" s="10" t="s">
        <v>1157</v>
      </c>
      <c r="C108" s="10" t="s">
        <v>517</v>
      </c>
      <c r="D108" s="10" t="s">
        <v>1186</v>
      </c>
      <c r="E108" s="10" t="s">
        <v>1187</v>
      </c>
      <c r="F108" s="10" t="s">
        <v>997</v>
      </c>
      <c r="G108" s="10" t="s">
        <v>1188</v>
      </c>
      <c r="H108" s="10"/>
      <c r="I108" s="10" t="s">
        <v>1189</v>
      </c>
      <c r="J108" s="10"/>
      <c r="K108" s="10" t="s">
        <v>578</v>
      </c>
      <c r="L108" s="10" t="s">
        <v>140</v>
      </c>
      <c r="M108" s="10" t="s">
        <v>127</v>
      </c>
      <c r="N108" s="10"/>
    </row>
    <row r="109" spans="1:14" ht="42.75" x14ac:dyDescent="0.25">
      <c r="A109" s="10" t="s">
        <v>1190</v>
      </c>
      <c r="B109" s="10" t="s">
        <v>1157</v>
      </c>
      <c r="C109" s="10" t="s">
        <v>1191</v>
      </c>
      <c r="D109" s="10" t="s">
        <v>1192</v>
      </c>
      <c r="E109" s="10" t="s">
        <v>1193</v>
      </c>
      <c r="F109" s="10" t="s">
        <v>1194</v>
      </c>
      <c r="G109" s="10" t="s">
        <v>1195</v>
      </c>
      <c r="H109" s="10"/>
      <c r="I109" s="10" t="s">
        <v>1196</v>
      </c>
      <c r="J109" s="10"/>
      <c r="K109" s="10" t="s">
        <v>578</v>
      </c>
      <c r="L109" s="10" t="s">
        <v>140</v>
      </c>
      <c r="M109" s="10" t="s">
        <v>127</v>
      </c>
      <c r="N109" s="10"/>
    </row>
    <row r="110" spans="1:14" ht="42.75" x14ac:dyDescent="0.25">
      <c r="A110" s="10" t="s">
        <v>1197</v>
      </c>
      <c r="B110" s="10" t="s">
        <v>1157</v>
      </c>
      <c r="C110" s="10" t="s">
        <v>1198</v>
      </c>
      <c r="D110" s="10" t="s">
        <v>1199</v>
      </c>
      <c r="E110" s="10" t="s">
        <v>1200</v>
      </c>
      <c r="F110" s="10" t="s">
        <v>1201</v>
      </c>
      <c r="G110" s="10" t="s">
        <v>1202</v>
      </c>
      <c r="H110" s="10" t="s">
        <v>1203</v>
      </c>
      <c r="I110" s="10" t="s">
        <v>1204</v>
      </c>
      <c r="J110" s="10"/>
      <c r="K110" s="10" t="s">
        <v>578</v>
      </c>
      <c r="L110" s="10" t="s">
        <v>145</v>
      </c>
      <c r="M110" s="10" t="s">
        <v>127</v>
      </c>
      <c r="N110" s="10"/>
    </row>
    <row r="111" spans="1:14" ht="42.75" x14ac:dyDescent="0.25">
      <c r="A111" s="10" t="s">
        <v>1205</v>
      </c>
      <c r="B111" s="10" t="s">
        <v>1157</v>
      </c>
      <c r="C111" s="10" t="s">
        <v>517</v>
      </c>
      <c r="D111" s="10" t="s">
        <v>1206</v>
      </c>
      <c r="E111" s="10" t="s">
        <v>1207</v>
      </c>
      <c r="F111" s="10" t="s">
        <v>1208</v>
      </c>
      <c r="G111" s="10" t="s">
        <v>1209</v>
      </c>
      <c r="H111" s="10" t="s">
        <v>1210</v>
      </c>
      <c r="I111" s="10" t="s">
        <v>1211</v>
      </c>
      <c r="J111" s="10"/>
      <c r="K111" s="10" t="s">
        <v>578</v>
      </c>
      <c r="L111" s="10" t="s">
        <v>140</v>
      </c>
      <c r="M111" s="10" t="s">
        <v>127</v>
      </c>
      <c r="N111" s="10"/>
    </row>
    <row r="112" spans="1:14" ht="28.5" x14ac:dyDescent="0.25">
      <c r="A112" s="10" t="s">
        <v>1212</v>
      </c>
      <c r="B112" s="10" t="s">
        <v>1157</v>
      </c>
      <c r="C112" s="10" t="s">
        <v>517</v>
      </c>
      <c r="D112" s="10" t="s">
        <v>1213</v>
      </c>
      <c r="E112" s="10" t="s">
        <v>1214</v>
      </c>
      <c r="F112" s="10" t="s">
        <v>974</v>
      </c>
      <c r="G112" s="10" t="s">
        <v>1215</v>
      </c>
      <c r="H112" s="10"/>
      <c r="I112" s="10" t="s">
        <v>1216</v>
      </c>
      <c r="J112" s="10"/>
      <c r="K112" s="10" t="s">
        <v>578</v>
      </c>
      <c r="L112" s="10" t="s">
        <v>126</v>
      </c>
      <c r="M112" s="10" t="s">
        <v>127</v>
      </c>
      <c r="N112" s="10"/>
    </row>
    <row r="113" spans="1:14" ht="28.5" x14ac:dyDescent="0.25">
      <c r="A113" s="10" t="s">
        <v>1217</v>
      </c>
      <c r="B113" s="10" t="s">
        <v>1157</v>
      </c>
      <c r="C113" s="10" t="s">
        <v>1218</v>
      </c>
      <c r="D113" s="10" t="s">
        <v>1219</v>
      </c>
      <c r="E113" s="10" t="s">
        <v>1220</v>
      </c>
      <c r="F113" s="10" t="s">
        <v>974</v>
      </c>
      <c r="G113" s="10" t="s">
        <v>1221</v>
      </c>
      <c r="H113" s="10"/>
      <c r="I113" s="10" t="s">
        <v>1222</v>
      </c>
      <c r="J113" s="10"/>
      <c r="K113" s="10" t="s">
        <v>578</v>
      </c>
      <c r="L113" s="10" t="s">
        <v>145</v>
      </c>
      <c r="M113" s="10" t="s">
        <v>127</v>
      </c>
      <c r="N113" s="10"/>
    </row>
    <row r="114" spans="1:14" ht="42.75" x14ac:dyDescent="0.25">
      <c r="A114" s="10" t="s">
        <v>1223</v>
      </c>
      <c r="B114" s="10" t="s">
        <v>1157</v>
      </c>
      <c r="C114" s="10" t="s">
        <v>517</v>
      </c>
      <c r="D114" s="10" t="s">
        <v>1224</v>
      </c>
      <c r="E114" s="10" t="s">
        <v>1225</v>
      </c>
      <c r="F114" s="10" t="s">
        <v>1165</v>
      </c>
      <c r="G114" s="10" t="s">
        <v>1226</v>
      </c>
      <c r="H114" s="10" t="s">
        <v>640</v>
      </c>
      <c r="I114" s="10" t="s">
        <v>1227</v>
      </c>
      <c r="J114" s="10"/>
      <c r="K114" s="10" t="s">
        <v>578</v>
      </c>
      <c r="L114" s="10" t="s">
        <v>140</v>
      </c>
      <c r="M114" s="10" t="s">
        <v>127</v>
      </c>
      <c r="N114" s="10"/>
    </row>
    <row r="115" spans="1:14" x14ac:dyDescent="0.25">
      <c r="A115" s="2" t="s">
        <v>536</v>
      </c>
      <c r="B115" s="2"/>
      <c r="C115" s="2"/>
      <c r="D115" s="2"/>
      <c r="E115" s="2"/>
      <c r="F115" s="2"/>
      <c r="G115" s="2"/>
      <c r="H115" s="2"/>
      <c r="I115" s="2"/>
      <c r="J115" s="2"/>
      <c r="K115" s="2"/>
      <c r="L115" s="2"/>
      <c r="M115" s="2"/>
      <c r="N115" s="2"/>
    </row>
    <row r="116" spans="1:14" ht="71.25" x14ac:dyDescent="0.25">
      <c r="A116" s="10" t="s">
        <v>1228</v>
      </c>
      <c r="B116" s="10" t="s">
        <v>268</v>
      </c>
      <c r="C116" s="10" t="s">
        <v>269</v>
      </c>
      <c r="D116" s="10" t="s">
        <v>1229</v>
      </c>
      <c r="E116" s="10" t="s">
        <v>1230</v>
      </c>
      <c r="F116" s="10" t="s">
        <v>1231</v>
      </c>
      <c r="G116" s="10" t="s">
        <v>1232</v>
      </c>
      <c r="H116" s="10" t="s">
        <v>1233</v>
      </c>
      <c r="I116" s="10" t="s">
        <v>1234</v>
      </c>
      <c r="J116" s="10"/>
      <c r="K116" s="10" t="s">
        <v>578</v>
      </c>
      <c r="L116" s="10" t="s">
        <v>140</v>
      </c>
      <c r="M116" s="10" t="s">
        <v>127</v>
      </c>
      <c r="N116" s="10"/>
    </row>
    <row r="117" spans="1:14" ht="42.75" x14ac:dyDescent="0.25">
      <c r="A117" s="10" t="s">
        <v>1235</v>
      </c>
      <c r="B117" s="10" t="s">
        <v>268</v>
      </c>
      <c r="C117" s="10" t="s">
        <v>269</v>
      </c>
      <c r="D117" s="10" t="s">
        <v>1236</v>
      </c>
      <c r="E117" s="10" t="s">
        <v>1237</v>
      </c>
      <c r="F117" s="10" t="s">
        <v>1238</v>
      </c>
      <c r="G117" s="10" t="s">
        <v>1239</v>
      </c>
      <c r="H117" s="10" t="s">
        <v>1240</v>
      </c>
      <c r="I117" s="10" t="s">
        <v>1241</v>
      </c>
      <c r="J117" s="10"/>
      <c r="K117" s="10" t="s">
        <v>578</v>
      </c>
      <c r="L117" s="10" t="s">
        <v>140</v>
      </c>
      <c r="M117" s="10" t="s">
        <v>127</v>
      </c>
      <c r="N117" s="10"/>
    </row>
    <row r="118" spans="1:14" ht="42.75" x14ac:dyDescent="0.25">
      <c r="A118" s="10" t="s">
        <v>1242</v>
      </c>
      <c r="B118" s="10" t="s">
        <v>268</v>
      </c>
      <c r="C118" s="10" t="s">
        <v>269</v>
      </c>
      <c r="D118" s="10" t="s">
        <v>1243</v>
      </c>
      <c r="E118" s="10" t="s">
        <v>1244</v>
      </c>
      <c r="F118" s="10" t="s">
        <v>1238</v>
      </c>
      <c r="G118" s="10" t="s">
        <v>1245</v>
      </c>
      <c r="H118" s="10"/>
      <c r="I118" s="10" t="s">
        <v>1246</v>
      </c>
      <c r="J118" s="10"/>
      <c r="K118" s="10" t="s">
        <v>578</v>
      </c>
      <c r="L118" s="10" t="s">
        <v>140</v>
      </c>
      <c r="M118" s="10" t="s">
        <v>127</v>
      </c>
      <c r="N118" s="10"/>
    </row>
    <row r="119" spans="1:14" ht="28.5" x14ac:dyDescent="0.25">
      <c r="A119" s="10" t="s">
        <v>1247</v>
      </c>
      <c r="B119" s="10" t="s">
        <v>268</v>
      </c>
      <c r="C119" s="10" t="s">
        <v>269</v>
      </c>
      <c r="D119" s="10" t="s">
        <v>1248</v>
      </c>
      <c r="E119" s="10" t="s">
        <v>1249</v>
      </c>
      <c r="F119" s="10" t="s">
        <v>1250</v>
      </c>
      <c r="G119" s="10" t="s">
        <v>1251</v>
      </c>
      <c r="H119" s="10"/>
      <c r="I119" s="10" t="s">
        <v>1252</v>
      </c>
      <c r="J119" s="10"/>
      <c r="K119" s="10" t="s">
        <v>578</v>
      </c>
      <c r="L119" s="10" t="s">
        <v>126</v>
      </c>
      <c r="M119" s="10" t="s">
        <v>447</v>
      </c>
      <c r="N119" s="10"/>
    </row>
    <row r="120" spans="1:14" ht="28.5" x14ac:dyDescent="0.25">
      <c r="A120" s="10" t="s">
        <v>1253</v>
      </c>
      <c r="B120" s="10" t="s">
        <v>268</v>
      </c>
      <c r="C120" s="10" t="s">
        <v>273</v>
      </c>
      <c r="D120" s="10" t="s">
        <v>1254</v>
      </c>
      <c r="E120" s="10" t="s">
        <v>1255</v>
      </c>
      <c r="F120" s="10" t="s">
        <v>1256</v>
      </c>
      <c r="G120" s="10" t="s">
        <v>1257</v>
      </c>
      <c r="H120" s="10"/>
      <c r="I120" s="10" t="s">
        <v>1258</v>
      </c>
      <c r="J120" s="10"/>
      <c r="K120" s="10" t="s">
        <v>578</v>
      </c>
      <c r="L120" s="10" t="s">
        <v>140</v>
      </c>
      <c r="M120" s="10" t="s">
        <v>127</v>
      </c>
      <c r="N120" s="10"/>
    </row>
    <row r="121" spans="1:14" ht="42.75" x14ac:dyDescent="0.25">
      <c r="A121" s="10" t="s">
        <v>1259</v>
      </c>
      <c r="B121" s="10" t="s">
        <v>268</v>
      </c>
      <c r="C121" s="10" t="s">
        <v>273</v>
      </c>
      <c r="D121" s="10" t="s">
        <v>1260</v>
      </c>
      <c r="E121" s="10" t="s">
        <v>1261</v>
      </c>
      <c r="F121" s="10" t="s">
        <v>1262</v>
      </c>
      <c r="G121" s="10" t="s">
        <v>1263</v>
      </c>
      <c r="H121" s="10" t="s">
        <v>640</v>
      </c>
      <c r="I121" s="10" t="s">
        <v>1264</v>
      </c>
      <c r="J121" s="10"/>
      <c r="K121" s="10" t="s">
        <v>578</v>
      </c>
      <c r="L121" s="10" t="s">
        <v>140</v>
      </c>
      <c r="M121" s="10" t="s">
        <v>127</v>
      </c>
      <c r="N121" s="10"/>
    </row>
    <row r="122" spans="1:14" ht="42.75" x14ac:dyDescent="0.25">
      <c r="A122" s="10" t="s">
        <v>1265</v>
      </c>
      <c r="B122" s="10" t="s">
        <v>268</v>
      </c>
      <c r="C122" s="10" t="s">
        <v>277</v>
      </c>
      <c r="D122" s="10" t="s">
        <v>1266</v>
      </c>
      <c r="E122" s="10" t="s">
        <v>1267</v>
      </c>
      <c r="F122" s="10" t="s">
        <v>1268</v>
      </c>
      <c r="G122" s="10" t="s">
        <v>1269</v>
      </c>
      <c r="H122" s="10" t="s">
        <v>1270</v>
      </c>
      <c r="I122" s="10" t="s">
        <v>1271</v>
      </c>
      <c r="J122" s="10"/>
      <c r="K122" s="10" t="s">
        <v>578</v>
      </c>
      <c r="L122" s="10" t="s">
        <v>140</v>
      </c>
      <c r="M122" s="10" t="s">
        <v>127</v>
      </c>
      <c r="N122" s="10"/>
    </row>
    <row r="123" spans="1:14" ht="28.5" x14ac:dyDescent="0.25">
      <c r="A123" s="10" t="s">
        <v>1272</v>
      </c>
      <c r="B123" s="10" t="s">
        <v>268</v>
      </c>
      <c r="C123" s="10" t="s">
        <v>277</v>
      </c>
      <c r="D123" s="10" t="s">
        <v>1273</v>
      </c>
      <c r="E123" s="10" t="s">
        <v>1274</v>
      </c>
      <c r="F123" s="10" t="s">
        <v>1275</v>
      </c>
      <c r="G123" s="10" t="s">
        <v>1276</v>
      </c>
      <c r="H123" s="10"/>
      <c r="I123" s="10" t="s">
        <v>1277</v>
      </c>
      <c r="J123" s="10"/>
      <c r="K123" s="10" t="s">
        <v>578</v>
      </c>
      <c r="L123" s="10" t="s">
        <v>140</v>
      </c>
      <c r="M123" s="10" t="s">
        <v>127</v>
      </c>
      <c r="N123" s="10"/>
    </row>
    <row r="124" spans="1:14" ht="28.5" x14ac:dyDescent="0.25">
      <c r="A124" s="10" t="s">
        <v>1278</v>
      </c>
      <c r="B124" s="10" t="s">
        <v>268</v>
      </c>
      <c r="C124" s="10" t="s">
        <v>273</v>
      </c>
      <c r="D124" s="10" t="s">
        <v>1279</v>
      </c>
      <c r="E124" s="10" t="s">
        <v>1280</v>
      </c>
      <c r="F124" s="10" t="s">
        <v>1262</v>
      </c>
      <c r="G124" s="10" t="s">
        <v>1281</v>
      </c>
      <c r="H124" s="10"/>
      <c r="I124" s="10" t="s">
        <v>1282</v>
      </c>
      <c r="J124" s="10"/>
      <c r="K124" s="10" t="s">
        <v>578</v>
      </c>
      <c r="L124" s="10" t="s">
        <v>145</v>
      </c>
      <c r="M124" s="10" t="s">
        <v>127</v>
      </c>
      <c r="N124" s="10"/>
    </row>
    <row r="125" spans="1:14" ht="42.75" x14ac:dyDescent="0.25">
      <c r="A125" s="10" t="s">
        <v>1283</v>
      </c>
      <c r="B125" s="10" t="s">
        <v>268</v>
      </c>
      <c r="C125" s="10" t="s">
        <v>277</v>
      </c>
      <c r="D125" s="10" t="s">
        <v>1284</v>
      </c>
      <c r="E125" s="10" t="s">
        <v>1285</v>
      </c>
      <c r="F125" s="10" t="s">
        <v>1286</v>
      </c>
      <c r="G125" s="10" t="s">
        <v>1287</v>
      </c>
      <c r="H125" s="10" t="s">
        <v>1288</v>
      </c>
      <c r="I125" s="10" t="s">
        <v>1289</v>
      </c>
      <c r="J125" s="10"/>
      <c r="K125" s="10" t="s">
        <v>578</v>
      </c>
      <c r="L125" s="10" t="s">
        <v>140</v>
      </c>
      <c r="M125" s="10" t="s">
        <v>127</v>
      </c>
      <c r="N125" s="10"/>
    </row>
    <row r="126" spans="1:14" x14ac:dyDescent="0.25">
      <c r="A126" s="2" t="s">
        <v>1290</v>
      </c>
      <c r="B126" s="2"/>
      <c r="C126" s="2"/>
      <c r="D126" s="2"/>
      <c r="E126" s="2"/>
      <c r="F126" s="2"/>
      <c r="G126" s="2"/>
      <c r="H126" s="2"/>
      <c r="I126" s="2"/>
      <c r="J126" s="2"/>
      <c r="K126" s="2"/>
      <c r="L126" s="2"/>
      <c r="M126" s="2"/>
      <c r="N126" s="2"/>
    </row>
    <row r="127" spans="1:14" ht="42.75" x14ac:dyDescent="0.25">
      <c r="A127" s="10" t="s">
        <v>1291</v>
      </c>
      <c r="B127" s="10" t="s">
        <v>281</v>
      </c>
      <c r="C127" s="10" t="s">
        <v>282</v>
      </c>
      <c r="D127" s="10" t="s">
        <v>1292</v>
      </c>
      <c r="E127" s="10" t="s">
        <v>1293</v>
      </c>
      <c r="F127" s="10" t="s">
        <v>619</v>
      </c>
      <c r="G127" s="10" t="s">
        <v>1294</v>
      </c>
      <c r="H127" s="10" t="s">
        <v>1295</v>
      </c>
      <c r="I127" s="10" t="s">
        <v>1296</v>
      </c>
      <c r="J127" s="10"/>
      <c r="K127" s="10" t="s">
        <v>578</v>
      </c>
      <c r="L127" s="10" t="s">
        <v>126</v>
      </c>
      <c r="M127" s="10" t="s">
        <v>127</v>
      </c>
      <c r="N127" s="10"/>
    </row>
    <row r="128" spans="1:14" ht="42.75" x14ac:dyDescent="0.25">
      <c r="A128" s="10" t="s">
        <v>1297</v>
      </c>
      <c r="B128" s="10" t="s">
        <v>281</v>
      </c>
      <c r="C128" s="10" t="s">
        <v>282</v>
      </c>
      <c r="D128" s="10" t="s">
        <v>1298</v>
      </c>
      <c r="E128" s="10" t="s">
        <v>1299</v>
      </c>
      <c r="F128" s="10" t="s">
        <v>619</v>
      </c>
      <c r="G128" s="10" t="s">
        <v>1300</v>
      </c>
      <c r="H128" s="10" t="s">
        <v>1301</v>
      </c>
      <c r="I128" s="10" t="s">
        <v>1302</v>
      </c>
      <c r="J128" s="10"/>
      <c r="K128" s="10" t="s">
        <v>578</v>
      </c>
      <c r="L128" s="10" t="s">
        <v>126</v>
      </c>
      <c r="M128" s="10" t="s">
        <v>127</v>
      </c>
      <c r="N128" s="10"/>
    </row>
    <row r="129" spans="1:14" ht="42.75" x14ac:dyDescent="0.25">
      <c r="A129" s="10" t="s">
        <v>1303</v>
      </c>
      <c r="B129" s="10" t="s">
        <v>281</v>
      </c>
      <c r="C129" s="10" t="s">
        <v>282</v>
      </c>
      <c r="D129" s="10" t="s">
        <v>1304</v>
      </c>
      <c r="E129" s="10" t="s">
        <v>1305</v>
      </c>
      <c r="F129" s="10" t="s">
        <v>619</v>
      </c>
      <c r="G129" s="10" t="s">
        <v>1306</v>
      </c>
      <c r="H129" s="10" t="s">
        <v>1307</v>
      </c>
      <c r="I129" s="10" t="s">
        <v>1308</v>
      </c>
      <c r="J129" s="10"/>
      <c r="K129" s="10" t="s">
        <v>578</v>
      </c>
      <c r="L129" s="10" t="s">
        <v>140</v>
      </c>
      <c r="M129" s="10" t="s">
        <v>127</v>
      </c>
      <c r="N129" s="10"/>
    </row>
    <row r="130" spans="1:14" ht="57" x14ac:dyDescent="0.25">
      <c r="A130" s="10" t="s">
        <v>1309</v>
      </c>
      <c r="B130" s="10" t="s">
        <v>281</v>
      </c>
      <c r="C130" s="10" t="s">
        <v>286</v>
      </c>
      <c r="D130" s="10" t="s">
        <v>1310</v>
      </c>
      <c r="E130" s="10" t="s">
        <v>1311</v>
      </c>
      <c r="F130" s="10" t="s">
        <v>619</v>
      </c>
      <c r="G130" s="10" t="s">
        <v>1312</v>
      </c>
      <c r="H130" s="10" t="s">
        <v>1313</v>
      </c>
      <c r="I130" s="10" t="s">
        <v>1314</v>
      </c>
      <c r="J130" s="10"/>
      <c r="K130" s="10" t="s">
        <v>578</v>
      </c>
      <c r="L130" s="10" t="s">
        <v>126</v>
      </c>
      <c r="M130" s="10" t="s">
        <v>127</v>
      </c>
      <c r="N130" s="10"/>
    </row>
    <row r="131" spans="1:14" ht="28.5" x14ac:dyDescent="0.25">
      <c r="A131" s="10" t="s">
        <v>1315</v>
      </c>
      <c r="B131" s="10" t="s">
        <v>281</v>
      </c>
      <c r="C131" s="10" t="s">
        <v>286</v>
      </c>
      <c r="D131" s="10" t="s">
        <v>1316</v>
      </c>
      <c r="E131" s="10" t="s">
        <v>1317</v>
      </c>
      <c r="F131" s="10" t="s">
        <v>1318</v>
      </c>
      <c r="G131" s="10" t="s">
        <v>1319</v>
      </c>
      <c r="H131" s="10" t="s">
        <v>1320</v>
      </c>
      <c r="I131" s="10" t="s">
        <v>1321</v>
      </c>
      <c r="J131" s="10"/>
      <c r="K131" s="10" t="s">
        <v>578</v>
      </c>
      <c r="L131" s="10" t="s">
        <v>140</v>
      </c>
      <c r="M131" s="10" t="s">
        <v>127</v>
      </c>
      <c r="N131" s="10"/>
    </row>
    <row r="132" spans="1:14" ht="57" x14ac:dyDescent="0.25">
      <c r="A132" s="10" t="s">
        <v>1322</v>
      </c>
      <c r="B132" s="10" t="s">
        <v>281</v>
      </c>
      <c r="C132" s="10" t="s">
        <v>290</v>
      </c>
      <c r="D132" s="10" t="s">
        <v>1323</v>
      </c>
      <c r="E132" s="10" t="s">
        <v>1324</v>
      </c>
      <c r="F132" s="10" t="s">
        <v>619</v>
      </c>
      <c r="G132" s="10" t="s">
        <v>1325</v>
      </c>
      <c r="H132" s="10" t="s">
        <v>1326</v>
      </c>
      <c r="I132" s="10" t="s">
        <v>1327</v>
      </c>
      <c r="J132" s="10"/>
      <c r="K132" s="10" t="s">
        <v>578</v>
      </c>
      <c r="L132" s="10" t="s">
        <v>126</v>
      </c>
      <c r="M132" s="10" t="s">
        <v>127</v>
      </c>
      <c r="N132" s="10"/>
    </row>
    <row r="133" spans="1:14" ht="42.75" x14ac:dyDescent="0.25">
      <c r="A133" s="10" t="s">
        <v>1328</v>
      </c>
      <c r="B133" s="10" t="s">
        <v>281</v>
      </c>
      <c r="C133" s="10" t="s">
        <v>290</v>
      </c>
      <c r="D133" s="10" t="s">
        <v>292</v>
      </c>
      <c r="E133" s="10" t="s">
        <v>1329</v>
      </c>
      <c r="F133" s="10" t="s">
        <v>619</v>
      </c>
      <c r="G133" s="10" t="s">
        <v>1330</v>
      </c>
      <c r="H133" s="10" t="s">
        <v>1331</v>
      </c>
      <c r="I133" s="10" t="s">
        <v>1332</v>
      </c>
      <c r="J133" s="10"/>
      <c r="K133" s="10" t="s">
        <v>578</v>
      </c>
      <c r="L133" s="10" t="s">
        <v>126</v>
      </c>
      <c r="M133" s="10" t="s">
        <v>127</v>
      </c>
      <c r="N133" s="10"/>
    </row>
    <row r="134" spans="1:14" ht="42.75" x14ac:dyDescent="0.25">
      <c r="A134" s="10" t="s">
        <v>1333</v>
      </c>
      <c r="B134" s="10" t="s">
        <v>281</v>
      </c>
      <c r="C134" s="10" t="s">
        <v>294</v>
      </c>
      <c r="D134" s="10" t="s">
        <v>1334</v>
      </c>
      <c r="E134" s="10" t="s">
        <v>1335</v>
      </c>
      <c r="F134" s="10" t="s">
        <v>619</v>
      </c>
      <c r="G134" s="10" t="s">
        <v>1336</v>
      </c>
      <c r="H134" s="10"/>
      <c r="I134" s="10" t="s">
        <v>1337</v>
      </c>
      <c r="J134" s="10"/>
      <c r="K134" s="10" t="s">
        <v>578</v>
      </c>
      <c r="L134" s="10" t="s">
        <v>126</v>
      </c>
      <c r="M134" s="10" t="s">
        <v>127</v>
      </c>
      <c r="N134" s="10"/>
    </row>
    <row r="135" spans="1:14" ht="28.5" x14ac:dyDescent="0.25">
      <c r="A135" s="10" t="s">
        <v>1338</v>
      </c>
      <c r="B135" s="10" t="s">
        <v>281</v>
      </c>
      <c r="C135" s="10" t="s">
        <v>294</v>
      </c>
      <c r="D135" s="10" t="s">
        <v>1339</v>
      </c>
      <c r="E135" s="10" t="s">
        <v>1340</v>
      </c>
      <c r="F135" s="10" t="s">
        <v>1341</v>
      </c>
      <c r="G135" s="10" t="s">
        <v>1342</v>
      </c>
      <c r="H135" s="10"/>
      <c r="I135" s="10" t="s">
        <v>1343</v>
      </c>
      <c r="J135" s="10"/>
      <c r="K135" s="10" t="s">
        <v>578</v>
      </c>
      <c r="L135" s="10" t="s">
        <v>140</v>
      </c>
      <c r="M135" s="10" t="s">
        <v>127</v>
      </c>
      <c r="N135" s="10"/>
    </row>
    <row r="136" spans="1:14" ht="28.5" x14ac:dyDescent="0.25">
      <c r="A136" s="10" t="s">
        <v>1344</v>
      </c>
      <c r="B136" s="10" t="s">
        <v>281</v>
      </c>
      <c r="C136" s="10" t="s">
        <v>282</v>
      </c>
      <c r="D136" s="10" t="s">
        <v>1345</v>
      </c>
      <c r="E136" s="10" t="s">
        <v>1346</v>
      </c>
      <c r="F136" s="10" t="s">
        <v>619</v>
      </c>
      <c r="G136" s="10" t="s">
        <v>1347</v>
      </c>
      <c r="H136" s="10"/>
      <c r="I136" s="10" t="s">
        <v>1348</v>
      </c>
      <c r="J136" s="10"/>
      <c r="K136" s="10" t="s">
        <v>578</v>
      </c>
      <c r="L136" s="10" t="s">
        <v>140</v>
      </c>
      <c r="M136" s="10" t="s">
        <v>127</v>
      </c>
      <c r="N136" s="10"/>
    </row>
    <row r="137" spans="1:14" ht="28.5" x14ac:dyDescent="0.25">
      <c r="A137" s="10" t="s">
        <v>1349</v>
      </c>
      <c r="B137" s="10" t="s">
        <v>281</v>
      </c>
      <c r="C137" s="10" t="s">
        <v>282</v>
      </c>
      <c r="D137" s="10" t="s">
        <v>1350</v>
      </c>
      <c r="E137" s="10" t="s">
        <v>1351</v>
      </c>
      <c r="F137" s="10" t="s">
        <v>1352</v>
      </c>
      <c r="G137" s="10" t="s">
        <v>1353</v>
      </c>
      <c r="H137" s="10" t="s">
        <v>1354</v>
      </c>
      <c r="I137" s="10" t="s">
        <v>1355</v>
      </c>
      <c r="J137" s="10"/>
      <c r="K137" s="10" t="s">
        <v>578</v>
      </c>
      <c r="L137" s="10" t="s">
        <v>140</v>
      </c>
      <c r="M137" s="10" t="s">
        <v>127</v>
      </c>
      <c r="N137" s="10"/>
    </row>
    <row r="138" spans="1:14" ht="42.75" x14ac:dyDescent="0.25">
      <c r="A138" s="10" t="s">
        <v>1356</v>
      </c>
      <c r="B138" s="10" t="s">
        <v>281</v>
      </c>
      <c r="C138" s="10" t="s">
        <v>1357</v>
      </c>
      <c r="D138" s="10" t="s">
        <v>1358</v>
      </c>
      <c r="E138" s="10" t="s">
        <v>1359</v>
      </c>
      <c r="F138" s="10" t="s">
        <v>1360</v>
      </c>
      <c r="G138" s="10" t="s">
        <v>1361</v>
      </c>
      <c r="H138" s="10" t="s">
        <v>640</v>
      </c>
      <c r="I138" s="10" t="s">
        <v>1362</v>
      </c>
      <c r="J138" s="10"/>
      <c r="K138" s="10" t="s">
        <v>578</v>
      </c>
      <c r="L138" s="10" t="s">
        <v>140</v>
      </c>
      <c r="M138" s="10" t="s">
        <v>127</v>
      </c>
      <c r="N138" s="10"/>
    </row>
    <row r="139" spans="1:14" x14ac:dyDescent="0.25">
      <c r="A139" s="2" t="s">
        <v>552</v>
      </c>
      <c r="B139" s="2"/>
      <c r="C139" s="2"/>
      <c r="D139" s="2"/>
      <c r="E139" s="2"/>
      <c r="F139" s="2"/>
      <c r="G139" s="2"/>
      <c r="H139" s="2"/>
      <c r="I139" s="2"/>
      <c r="J139" s="2"/>
      <c r="K139" s="2"/>
      <c r="L139" s="2"/>
      <c r="M139" s="2"/>
      <c r="N139" s="2"/>
    </row>
    <row r="140" spans="1:14" ht="28.5" x14ac:dyDescent="0.25">
      <c r="A140" s="10" t="s">
        <v>1363</v>
      </c>
      <c r="B140" s="10" t="s">
        <v>298</v>
      </c>
      <c r="C140" s="10" t="s">
        <v>553</v>
      </c>
      <c r="D140" s="10" t="s">
        <v>1364</v>
      </c>
      <c r="E140" s="10" t="s">
        <v>1365</v>
      </c>
      <c r="F140" s="10"/>
      <c r="G140" s="10" t="s">
        <v>1366</v>
      </c>
      <c r="H140" s="10" t="s">
        <v>1367</v>
      </c>
      <c r="I140" s="10" t="s">
        <v>1368</v>
      </c>
      <c r="J140" s="10"/>
      <c r="K140" s="10" t="s">
        <v>578</v>
      </c>
      <c r="L140" s="10" t="s">
        <v>126</v>
      </c>
      <c r="M140" s="10" t="s">
        <v>298</v>
      </c>
      <c r="N140" s="10"/>
    </row>
    <row r="141" spans="1:14" ht="28.5" x14ac:dyDescent="0.25">
      <c r="A141" s="10" t="s">
        <v>1369</v>
      </c>
      <c r="B141" s="10" t="s">
        <v>298</v>
      </c>
      <c r="C141" s="10" t="s">
        <v>553</v>
      </c>
      <c r="D141" s="10" t="s">
        <v>1370</v>
      </c>
      <c r="E141" s="10" t="s">
        <v>1371</v>
      </c>
      <c r="F141" s="10"/>
      <c r="G141" s="10" t="s">
        <v>1372</v>
      </c>
      <c r="H141" s="10" t="s">
        <v>1373</v>
      </c>
      <c r="I141" s="10" t="s">
        <v>1374</v>
      </c>
      <c r="J141" s="10"/>
      <c r="K141" s="10" t="s">
        <v>578</v>
      </c>
      <c r="L141" s="10" t="s">
        <v>126</v>
      </c>
      <c r="M141" s="10" t="s">
        <v>298</v>
      </c>
      <c r="N141" s="10"/>
    </row>
    <row r="142" spans="1:14" ht="28.5" x14ac:dyDescent="0.25">
      <c r="A142" s="10" t="s">
        <v>1375</v>
      </c>
      <c r="B142" s="10" t="s">
        <v>298</v>
      </c>
      <c r="C142" s="10" t="s">
        <v>553</v>
      </c>
      <c r="D142" s="10" t="s">
        <v>1376</v>
      </c>
      <c r="E142" s="10" t="s">
        <v>1377</v>
      </c>
      <c r="F142" s="10"/>
      <c r="G142" s="10" t="s">
        <v>1378</v>
      </c>
      <c r="H142" s="10" t="s">
        <v>1379</v>
      </c>
      <c r="I142" s="10" t="s">
        <v>1380</v>
      </c>
      <c r="J142" s="10"/>
      <c r="K142" s="10" t="s">
        <v>578</v>
      </c>
      <c r="L142" s="10" t="s">
        <v>126</v>
      </c>
      <c r="M142" s="10" t="s">
        <v>298</v>
      </c>
      <c r="N142" s="10"/>
    </row>
    <row r="143" spans="1:14" ht="28.5" x14ac:dyDescent="0.25">
      <c r="A143" s="10" t="s">
        <v>1381</v>
      </c>
      <c r="B143" s="10" t="s">
        <v>298</v>
      </c>
      <c r="C143" s="10" t="s">
        <v>303</v>
      </c>
      <c r="D143" s="10" t="s">
        <v>1382</v>
      </c>
      <c r="E143" s="10" t="s">
        <v>1383</v>
      </c>
      <c r="F143" s="10"/>
      <c r="G143" s="10" t="s">
        <v>1384</v>
      </c>
      <c r="H143" s="10"/>
      <c r="I143" s="10" t="s">
        <v>1385</v>
      </c>
      <c r="J143" s="10"/>
      <c r="K143" s="10" t="s">
        <v>578</v>
      </c>
      <c r="L143" s="10" t="s">
        <v>126</v>
      </c>
      <c r="M143" s="10" t="s">
        <v>298</v>
      </c>
      <c r="N143" s="10"/>
    </row>
    <row r="144" spans="1:14" x14ac:dyDescent="0.25">
      <c r="A144" s="10" t="s">
        <v>1386</v>
      </c>
      <c r="B144" s="10" t="s">
        <v>298</v>
      </c>
      <c r="C144" s="10" t="s">
        <v>303</v>
      </c>
      <c r="D144" s="10" t="s">
        <v>1387</v>
      </c>
      <c r="E144" s="10" t="s">
        <v>1388</v>
      </c>
      <c r="F144" s="10"/>
      <c r="G144" s="10" t="s">
        <v>1389</v>
      </c>
      <c r="H144" s="10"/>
      <c r="I144" s="10" t="s">
        <v>1390</v>
      </c>
      <c r="J144" s="10"/>
      <c r="K144" s="10" t="s">
        <v>578</v>
      </c>
      <c r="L144" s="10" t="s">
        <v>140</v>
      </c>
      <c r="M144" s="10" t="s">
        <v>298</v>
      </c>
      <c r="N144" s="10"/>
    </row>
    <row r="145" spans="1:14" ht="28.5" x14ac:dyDescent="0.25">
      <c r="A145" s="10" t="s">
        <v>1391</v>
      </c>
      <c r="B145" s="10" t="s">
        <v>298</v>
      </c>
      <c r="C145" s="10" t="s">
        <v>307</v>
      </c>
      <c r="D145" s="10" t="s">
        <v>1392</v>
      </c>
      <c r="E145" s="10" t="s">
        <v>1393</v>
      </c>
      <c r="F145" s="10"/>
      <c r="G145" s="10" t="s">
        <v>1394</v>
      </c>
      <c r="H145" s="10" t="s">
        <v>1395</v>
      </c>
      <c r="I145" s="10" t="s">
        <v>1396</v>
      </c>
      <c r="J145" s="10"/>
      <c r="K145" s="10" t="s">
        <v>578</v>
      </c>
      <c r="L145" s="10" t="s">
        <v>140</v>
      </c>
      <c r="M145" s="10" t="s">
        <v>298</v>
      </c>
      <c r="N145" s="10"/>
    </row>
    <row r="146" spans="1:14" x14ac:dyDescent="0.25">
      <c r="A146" s="10" t="s">
        <v>1397</v>
      </c>
      <c r="B146" s="10" t="s">
        <v>298</v>
      </c>
      <c r="C146" s="10" t="s">
        <v>303</v>
      </c>
      <c r="D146" s="10" t="s">
        <v>1398</v>
      </c>
      <c r="E146" s="10" t="s">
        <v>1399</v>
      </c>
      <c r="F146" s="10" t="s">
        <v>619</v>
      </c>
      <c r="G146" s="10" t="s">
        <v>1400</v>
      </c>
      <c r="H146" s="10"/>
      <c r="I146" s="10" t="s">
        <v>1401</v>
      </c>
      <c r="J146" s="10"/>
      <c r="K146" s="10" t="s">
        <v>578</v>
      </c>
      <c r="L146" s="10" t="s">
        <v>126</v>
      </c>
      <c r="M146" s="10" t="s">
        <v>298</v>
      </c>
      <c r="N146" s="10"/>
    </row>
    <row r="147" spans="1:14" ht="28.5" x14ac:dyDescent="0.25">
      <c r="A147" s="10" t="s">
        <v>1402</v>
      </c>
      <c r="B147" s="10" t="s">
        <v>298</v>
      </c>
      <c r="C147" s="10" t="s">
        <v>553</v>
      </c>
      <c r="D147" s="10" t="s">
        <v>1403</v>
      </c>
      <c r="E147" s="10" t="s">
        <v>1404</v>
      </c>
      <c r="F147" s="10"/>
      <c r="G147" s="10" t="s">
        <v>1405</v>
      </c>
      <c r="H147" s="10" t="s">
        <v>1406</v>
      </c>
      <c r="I147" s="10" t="s">
        <v>1407</v>
      </c>
      <c r="J147" s="10"/>
      <c r="K147" s="10" t="s">
        <v>578</v>
      </c>
      <c r="L147" s="10" t="s">
        <v>140</v>
      </c>
      <c r="M147" s="10" t="s">
        <v>298</v>
      </c>
      <c r="N147" s="10"/>
    </row>
    <row r="148" spans="1:14" ht="28.5" x14ac:dyDescent="0.25">
      <c r="A148" s="10" t="s">
        <v>1408</v>
      </c>
      <c r="B148" s="10" t="s">
        <v>298</v>
      </c>
      <c r="C148" s="10" t="s">
        <v>303</v>
      </c>
      <c r="D148" s="10" t="s">
        <v>1409</v>
      </c>
      <c r="E148" s="10" t="s">
        <v>1410</v>
      </c>
      <c r="F148" s="10" t="s">
        <v>1411</v>
      </c>
      <c r="G148" s="10" t="s">
        <v>1412</v>
      </c>
      <c r="H148" s="10"/>
      <c r="I148" s="10" t="s">
        <v>1413</v>
      </c>
      <c r="J148" s="10"/>
      <c r="K148" s="10" t="s">
        <v>578</v>
      </c>
      <c r="L148" s="10" t="s">
        <v>140</v>
      </c>
      <c r="M148" s="10" t="s">
        <v>298</v>
      </c>
      <c r="N148" s="10"/>
    </row>
    <row r="149" spans="1:14" ht="28.5" x14ac:dyDescent="0.25">
      <c r="A149" s="10" t="s">
        <v>1414</v>
      </c>
      <c r="B149" s="10" t="s">
        <v>298</v>
      </c>
      <c r="C149" s="10" t="s">
        <v>1415</v>
      </c>
      <c r="D149" s="10" t="s">
        <v>1416</v>
      </c>
      <c r="E149" s="10" t="s">
        <v>1417</v>
      </c>
      <c r="F149" s="10"/>
      <c r="G149" s="10" t="s">
        <v>1418</v>
      </c>
      <c r="H149" s="10"/>
      <c r="I149" s="10" t="s">
        <v>1419</v>
      </c>
      <c r="J149" s="10"/>
      <c r="K149" s="10" t="s">
        <v>578</v>
      </c>
      <c r="L149" s="10" t="s">
        <v>140</v>
      </c>
      <c r="M149" s="10" t="s">
        <v>298</v>
      </c>
      <c r="N149" s="10"/>
    </row>
    <row r="150" spans="1:14" x14ac:dyDescent="0.25">
      <c r="A150" s="2" t="s">
        <v>558</v>
      </c>
      <c r="B150" s="2"/>
      <c r="C150" s="2"/>
      <c r="D150" s="2"/>
      <c r="E150" s="2"/>
      <c r="F150" s="2"/>
      <c r="G150" s="2"/>
      <c r="H150" s="2"/>
      <c r="I150" s="2"/>
      <c r="J150" s="2"/>
      <c r="K150" s="2"/>
      <c r="L150" s="2"/>
      <c r="M150" s="2"/>
      <c r="N150" s="2"/>
    </row>
    <row r="151" spans="1:14" ht="28.5" x14ac:dyDescent="0.25">
      <c r="A151" s="10" t="s">
        <v>1420</v>
      </c>
      <c r="B151" s="10" t="s">
        <v>311</v>
      </c>
      <c r="C151" s="10" t="s">
        <v>312</v>
      </c>
      <c r="D151" s="10" t="s">
        <v>1421</v>
      </c>
      <c r="E151" s="10" t="s">
        <v>1422</v>
      </c>
      <c r="F151" s="10" t="s">
        <v>1423</v>
      </c>
      <c r="G151" s="10" t="s">
        <v>1424</v>
      </c>
      <c r="H151" s="10"/>
      <c r="I151" s="10" t="s">
        <v>1425</v>
      </c>
      <c r="J151" s="10"/>
      <c r="K151" s="10" t="s">
        <v>578</v>
      </c>
      <c r="L151" s="10" t="s">
        <v>140</v>
      </c>
      <c r="M151" s="10" t="s">
        <v>311</v>
      </c>
      <c r="N151" s="10"/>
    </row>
    <row r="152" spans="1:14" ht="28.5" x14ac:dyDescent="0.25">
      <c r="A152" s="10" t="s">
        <v>1426</v>
      </c>
      <c r="B152" s="10" t="s">
        <v>311</v>
      </c>
      <c r="C152" s="10" t="s">
        <v>312</v>
      </c>
      <c r="D152" s="10" t="s">
        <v>1427</v>
      </c>
      <c r="E152" s="10" t="s">
        <v>1428</v>
      </c>
      <c r="F152" s="10" t="s">
        <v>687</v>
      </c>
      <c r="G152" s="10" t="s">
        <v>1429</v>
      </c>
      <c r="H152" s="10"/>
      <c r="I152" s="10" t="s">
        <v>1430</v>
      </c>
      <c r="J152" s="10"/>
      <c r="K152" s="10" t="s">
        <v>578</v>
      </c>
      <c r="L152" s="10" t="s">
        <v>140</v>
      </c>
      <c r="M152" s="10" t="s">
        <v>311</v>
      </c>
      <c r="N152" s="10"/>
    </row>
    <row r="153" spans="1:14" ht="28.5" x14ac:dyDescent="0.25">
      <c r="A153" s="10" t="s">
        <v>1431</v>
      </c>
      <c r="B153" s="10" t="s">
        <v>311</v>
      </c>
      <c r="C153" s="10" t="s">
        <v>312</v>
      </c>
      <c r="D153" s="10" t="s">
        <v>1432</v>
      </c>
      <c r="E153" s="10" t="s">
        <v>1433</v>
      </c>
      <c r="F153" s="10" t="s">
        <v>1434</v>
      </c>
      <c r="G153" s="10" t="s">
        <v>1435</v>
      </c>
      <c r="H153" s="10"/>
      <c r="I153" s="10" t="s">
        <v>1430</v>
      </c>
      <c r="J153" s="10"/>
      <c r="K153" s="10" t="s">
        <v>578</v>
      </c>
      <c r="L153" s="10" t="s">
        <v>140</v>
      </c>
      <c r="M153" s="10" t="s">
        <v>311</v>
      </c>
      <c r="N153" s="10"/>
    </row>
    <row r="154" spans="1:14" ht="28.5" x14ac:dyDescent="0.25">
      <c r="A154" s="10" t="s">
        <v>1436</v>
      </c>
      <c r="B154" s="10" t="s">
        <v>311</v>
      </c>
      <c r="C154" s="10" t="s">
        <v>312</v>
      </c>
      <c r="D154" s="10" t="s">
        <v>1437</v>
      </c>
      <c r="E154" s="10" t="s">
        <v>1438</v>
      </c>
      <c r="F154" s="10" t="s">
        <v>619</v>
      </c>
      <c r="G154" s="10" t="s">
        <v>1439</v>
      </c>
      <c r="H154" s="10"/>
      <c r="I154" s="10" t="s">
        <v>1440</v>
      </c>
      <c r="J154" s="10"/>
      <c r="K154" s="10" t="s">
        <v>578</v>
      </c>
      <c r="L154" s="10" t="s">
        <v>140</v>
      </c>
      <c r="M154" s="10" t="s">
        <v>311</v>
      </c>
      <c r="N154" s="10"/>
    </row>
    <row r="155" spans="1:14" ht="28.5" x14ac:dyDescent="0.25">
      <c r="A155" s="10" t="s">
        <v>1441</v>
      </c>
      <c r="B155" s="10" t="s">
        <v>311</v>
      </c>
      <c r="C155" s="10" t="s">
        <v>316</v>
      </c>
      <c r="D155" s="10" t="s">
        <v>1442</v>
      </c>
      <c r="E155" s="10" t="s">
        <v>1443</v>
      </c>
      <c r="F155" s="10" t="s">
        <v>1444</v>
      </c>
      <c r="G155" s="10" t="s">
        <v>1445</v>
      </c>
      <c r="H155" s="10" t="s">
        <v>689</v>
      </c>
      <c r="I155" s="10" t="s">
        <v>1446</v>
      </c>
      <c r="J155" s="10"/>
      <c r="K155" s="10" t="s">
        <v>578</v>
      </c>
      <c r="L155" s="10" t="s">
        <v>140</v>
      </c>
      <c r="M155" s="10" t="s">
        <v>311</v>
      </c>
      <c r="N155" s="10"/>
    </row>
    <row r="156" spans="1:14" ht="28.5" x14ac:dyDescent="0.25">
      <c r="A156" s="10" t="s">
        <v>1447</v>
      </c>
      <c r="B156" s="10" t="s">
        <v>311</v>
      </c>
      <c r="C156" s="10" t="s">
        <v>312</v>
      </c>
      <c r="D156" s="10" t="s">
        <v>1448</v>
      </c>
      <c r="E156" s="10" t="s">
        <v>1449</v>
      </c>
      <c r="F156" s="10" t="s">
        <v>837</v>
      </c>
      <c r="G156" s="10" t="s">
        <v>1450</v>
      </c>
      <c r="H156" s="10"/>
      <c r="I156" s="10" t="s">
        <v>1451</v>
      </c>
      <c r="J156" s="10"/>
      <c r="K156" s="10" t="s">
        <v>578</v>
      </c>
      <c r="L156" s="10" t="s">
        <v>140</v>
      </c>
      <c r="M156" s="10" t="s">
        <v>311</v>
      </c>
      <c r="N156" s="10"/>
    </row>
    <row r="157" spans="1:14" ht="28.5" x14ac:dyDescent="0.25">
      <c r="A157" s="10" t="s">
        <v>1452</v>
      </c>
      <c r="B157" s="10" t="s">
        <v>311</v>
      </c>
      <c r="C157" s="10" t="s">
        <v>312</v>
      </c>
      <c r="D157" s="10" t="s">
        <v>1453</v>
      </c>
      <c r="E157" s="10" t="s">
        <v>1454</v>
      </c>
      <c r="F157" s="10" t="s">
        <v>837</v>
      </c>
      <c r="G157" s="10" t="s">
        <v>1455</v>
      </c>
      <c r="H157" s="10"/>
      <c r="I157" s="10" t="s">
        <v>1456</v>
      </c>
      <c r="J157" s="10"/>
      <c r="K157" s="10" t="s">
        <v>578</v>
      </c>
      <c r="L157" s="10" t="s">
        <v>145</v>
      </c>
      <c r="M157" s="10" t="s">
        <v>311</v>
      </c>
      <c r="N157" s="10"/>
    </row>
  </sheetData>
  <mergeCells count="11">
    <mergeCell ref="A150:N150"/>
    <mergeCell ref="A83:N83"/>
    <mergeCell ref="A102:N102"/>
    <mergeCell ref="A115:N115"/>
    <mergeCell ref="A126:N126"/>
    <mergeCell ref="A139:N139"/>
    <mergeCell ref="A2:N2"/>
    <mergeCell ref="A19:N19"/>
    <mergeCell ref="A38:N38"/>
    <mergeCell ref="A51:N51"/>
    <mergeCell ref="A68:N68"/>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
  <sheetViews>
    <sheetView tabSelected="1" zoomScaleNormal="100" workbookViewId="0">
      <pane ySplit="1" topLeftCell="A2" activePane="bottomLeft" state="frozen"/>
      <selection pane="bottomLeft" activeCell="J4" sqref="J4"/>
    </sheetView>
  </sheetViews>
  <sheetFormatPr defaultColWidth="8.7109375" defaultRowHeight="15" x14ac:dyDescent="0.25"/>
  <cols>
    <col min="1" max="1" width="9" customWidth="1"/>
    <col min="2" max="2" width="12" customWidth="1"/>
    <col min="3" max="3" width="16" customWidth="1"/>
    <col min="4" max="4" width="34" customWidth="1"/>
    <col min="5" max="6" width="9" customWidth="1"/>
    <col min="7" max="7" width="14" customWidth="1"/>
    <col min="8" max="8" width="38" customWidth="1"/>
    <col min="9" max="9" width="30" customWidth="1"/>
    <col min="10" max="10" width="28" customWidth="1"/>
    <col min="11" max="11" width="16" customWidth="1"/>
    <col min="12" max="13" width="13" customWidth="1"/>
    <col min="14" max="14" width="9" customWidth="1"/>
    <col min="15" max="15" width="12" customWidth="1"/>
    <col min="16" max="16" width="11" customWidth="1"/>
    <col min="17" max="17" width="30" customWidth="1"/>
  </cols>
  <sheetData>
    <row r="1" spans="1:17" ht="30" x14ac:dyDescent="0.25">
      <c r="A1" s="11" t="s">
        <v>1457</v>
      </c>
      <c r="B1" s="11" t="s">
        <v>562</v>
      </c>
      <c r="C1" s="11" t="s">
        <v>116</v>
      </c>
      <c r="D1" s="11" t="s">
        <v>1458</v>
      </c>
      <c r="E1" s="11" t="s">
        <v>1459</v>
      </c>
      <c r="F1" s="11" t="s">
        <v>119</v>
      </c>
      <c r="G1" s="11" t="s">
        <v>69</v>
      </c>
      <c r="H1" s="11" t="s">
        <v>1460</v>
      </c>
      <c r="I1" s="11" t="s">
        <v>567</v>
      </c>
      <c r="J1" s="11" t="s">
        <v>568</v>
      </c>
      <c r="K1" s="11" t="s">
        <v>1461</v>
      </c>
      <c r="L1" s="11" t="s">
        <v>1462</v>
      </c>
      <c r="M1" s="11" t="s">
        <v>1463</v>
      </c>
      <c r="N1" s="11" t="s">
        <v>41</v>
      </c>
      <c r="O1" s="11" t="s">
        <v>1464</v>
      </c>
      <c r="P1" s="11" t="s">
        <v>1465</v>
      </c>
      <c r="Q1" s="11" t="s">
        <v>1466</v>
      </c>
    </row>
    <row r="2" spans="1:17" ht="42.75" x14ac:dyDescent="0.25">
      <c r="A2" s="10" t="s">
        <v>1467</v>
      </c>
      <c r="B2" s="10" t="s">
        <v>579</v>
      </c>
      <c r="C2" s="10" t="s">
        <v>123</v>
      </c>
      <c r="D2" s="10" t="s">
        <v>1468</v>
      </c>
      <c r="E2" s="13" t="s">
        <v>1469</v>
      </c>
      <c r="F2" s="10" t="s">
        <v>140</v>
      </c>
      <c r="G2" s="10" t="s">
        <v>1470</v>
      </c>
      <c r="H2" s="10" t="s">
        <v>1471</v>
      </c>
      <c r="I2" s="10" t="s">
        <v>1472</v>
      </c>
      <c r="J2" s="10" t="s">
        <v>1473</v>
      </c>
      <c r="K2" s="10"/>
      <c r="L2" s="10" t="s">
        <v>15</v>
      </c>
      <c r="M2" s="10" t="s">
        <v>1474</v>
      </c>
      <c r="N2" s="10" t="s">
        <v>1475</v>
      </c>
      <c r="O2" s="10" t="s">
        <v>1476</v>
      </c>
      <c r="P2" s="10"/>
      <c r="Q2" s="10" t="s">
        <v>1477</v>
      </c>
    </row>
    <row r="3" spans="1:17" ht="42.75" x14ac:dyDescent="0.25">
      <c r="A3" s="10" t="s">
        <v>1478</v>
      </c>
      <c r="B3" s="10" t="s">
        <v>823</v>
      </c>
      <c r="C3" s="10" t="s">
        <v>416</v>
      </c>
      <c r="D3" s="10" t="s">
        <v>1479</v>
      </c>
      <c r="E3" s="16" t="s">
        <v>1480</v>
      </c>
      <c r="F3" s="10" t="s">
        <v>126</v>
      </c>
      <c r="G3" s="10" t="s">
        <v>1470</v>
      </c>
      <c r="H3" s="10" t="s">
        <v>1481</v>
      </c>
      <c r="I3" s="10" t="s">
        <v>1482</v>
      </c>
      <c r="J3" s="10" t="s">
        <v>1483</v>
      </c>
      <c r="K3" s="10" t="s">
        <v>1484</v>
      </c>
      <c r="L3" s="10" t="s">
        <v>15</v>
      </c>
      <c r="M3" s="10" t="s">
        <v>1485</v>
      </c>
      <c r="N3" s="10" t="s">
        <v>1475</v>
      </c>
      <c r="O3" s="10" t="s">
        <v>1476</v>
      </c>
      <c r="P3" s="10"/>
      <c r="Q3" s="10" t="s">
        <v>1486</v>
      </c>
    </row>
    <row r="4" spans="1:17" ht="28.5" x14ac:dyDescent="0.25">
      <c r="A4" s="10" t="s">
        <v>1487</v>
      </c>
      <c r="B4" s="10" t="s">
        <v>759</v>
      </c>
      <c r="C4" s="10" t="s">
        <v>414</v>
      </c>
      <c r="D4" s="10" t="s">
        <v>1488</v>
      </c>
      <c r="E4" s="14" t="s">
        <v>1489</v>
      </c>
      <c r="F4" s="10" t="s">
        <v>126</v>
      </c>
      <c r="G4" s="10" t="s">
        <v>1470</v>
      </c>
      <c r="H4" s="10" t="s">
        <v>1490</v>
      </c>
      <c r="I4" s="10" t="s">
        <v>1491</v>
      </c>
      <c r="J4" s="10" t="s">
        <v>785</v>
      </c>
      <c r="K4" s="10" t="s">
        <v>1492</v>
      </c>
      <c r="L4" s="10" t="s">
        <v>15</v>
      </c>
      <c r="M4" s="10" t="s">
        <v>1485</v>
      </c>
      <c r="N4" s="10" t="s">
        <v>1475</v>
      </c>
      <c r="O4" s="10" t="s">
        <v>1476</v>
      </c>
      <c r="P4" s="10"/>
      <c r="Q4" s="10" t="s">
        <v>1493</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2"/>
  <sheetViews>
    <sheetView showGridLines="0" topLeftCell="A9" zoomScaleNormal="100" workbookViewId="0">
      <selection sqref="A1:G1"/>
    </sheetView>
  </sheetViews>
  <sheetFormatPr defaultColWidth="8.7109375" defaultRowHeight="15" x14ac:dyDescent="0.25"/>
  <cols>
    <col min="1" max="1" width="22" customWidth="1"/>
    <col min="2" max="3" width="11" customWidth="1"/>
    <col min="4" max="5" width="9" customWidth="1"/>
    <col min="6" max="6" width="16" customWidth="1"/>
    <col min="7" max="7" width="10" customWidth="1"/>
  </cols>
  <sheetData>
    <row r="1" spans="1:7" ht="25.5" customHeight="1" x14ac:dyDescent="0.35">
      <c r="A1" s="5" t="s">
        <v>1494</v>
      </c>
      <c r="B1" s="5"/>
      <c r="C1" s="5"/>
      <c r="D1" s="5"/>
      <c r="E1" s="5"/>
      <c r="F1" s="5"/>
      <c r="G1" s="5"/>
    </row>
    <row r="3" spans="1:7" x14ac:dyDescent="0.25">
      <c r="A3" s="6" t="s">
        <v>38</v>
      </c>
      <c r="B3" s="8" t="s">
        <v>1495</v>
      </c>
    </row>
    <row r="4" spans="1:7" x14ac:dyDescent="0.25">
      <c r="A4" s="6" t="s">
        <v>1496</v>
      </c>
      <c r="B4" s="8" t="s">
        <v>1485</v>
      </c>
    </row>
    <row r="5" spans="1:7" x14ac:dyDescent="0.25">
      <c r="A5" s="6" t="s">
        <v>14</v>
      </c>
      <c r="B5" s="8" t="s">
        <v>15</v>
      </c>
    </row>
    <row r="6" spans="1:7" x14ac:dyDescent="0.25">
      <c r="A6" s="6" t="s">
        <v>1497</v>
      </c>
      <c r="B6" s="8" t="s">
        <v>1498</v>
      </c>
    </row>
    <row r="8" spans="1:7" ht="15.75" x14ac:dyDescent="0.25">
      <c r="A8" s="3" t="s">
        <v>1499</v>
      </c>
      <c r="B8" s="3"/>
      <c r="C8" s="3"/>
      <c r="D8" s="3"/>
      <c r="E8" s="3"/>
      <c r="F8" s="3"/>
      <c r="G8" s="3"/>
    </row>
    <row r="9" spans="1:7" ht="30" x14ac:dyDescent="0.25">
      <c r="A9" s="11" t="s">
        <v>116</v>
      </c>
      <c r="B9" s="11" t="s">
        <v>411</v>
      </c>
      <c r="C9" s="11" t="s">
        <v>1500</v>
      </c>
      <c r="D9" s="11" t="s">
        <v>1501</v>
      </c>
      <c r="E9" s="11" t="s">
        <v>1502</v>
      </c>
      <c r="F9" s="11" t="s">
        <v>1503</v>
      </c>
      <c r="G9" s="11" t="s">
        <v>1504</v>
      </c>
    </row>
    <row r="10" spans="1:7" x14ac:dyDescent="0.25">
      <c r="A10" s="10" t="s">
        <v>123</v>
      </c>
      <c r="B10" s="10">
        <v>5</v>
      </c>
      <c r="C10" s="10">
        <v>16</v>
      </c>
      <c r="D10" s="10">
        <v>0</v>
      </c>
      <c r="E10" s="10">
        <v>0</v>
      </c>
      <c r="F10" s="10">
        <v>16</v>
      </c>
      <c r="G10" s="10">
        <v>0</v>
      </c>
    </row>
    <row r="11" spans="1:7" x14ac:dyDescent="0.25">
      <c r="A11" s="12" t="s">
        <v>414</v>
      </c>
      <c r="B11" s="12">
        <v>6</v>
      </c>
      <c r="C11" s="12">
        <v>18</v>
      </c>
      <c r="D11" s="12">
        <v>0</v>
      </c>
      <c r="E11" s="12">
        <v>0</v>
      </c>
      <c r="F11" s="12">
        <v>18</v>
      </c>
      <c r="G11" s="12">
        <v>0</v>
      </c>
    </row>
    <row r="12" spans="1:7" x14ac:dyDescent="0.25">
      <c r="A12" s="10" t="s">
        <v>416</v>
      </c>
      <c r="B12" s="10">
        <v>4</v>
      </c>
      <c r="C12" s="10">
        <v>12</v>
      </c>
      <c r="D12" s="10">
        <v>0</v>
      </c>
      <c r="E12" s="10">
        <v>0</v>
      </c>
      <c r="F12" s="10">
        <v>12</v>
      </c>
      <c r="G12" s="10">
        <v>0</v>
      </c>
    </row>
    <row r="13" spans="1:7" x14ac:dyDescent="0.25">
      <c r="A13" s="12" t="s">
        <v>197</v>
      </c>
      <c r="B13" s="12">
        <v>6</v>
      </c>
      <c r="C13" s="12">
        <v>16</v>
      </c>
      <c r="D13" s="12">
        <v>0</v>
      </c>
      <c r="E13" s="12">
        <v>0</v>
      </c>
      <c r="F13" s="12">
        <v>16</v>
      </c>
      <c r="G13" s="12">
        <v>0</v>
      </c>
    </row>
    <row r="14" spans="1:7" x14ac:dyDescent="0.25">
      <c r="A14" s="10" t="s">
        <v>419</v>
      </c>
      <c r="B14" s="10">
        <v>5</v>
      </c>
      <c r="C14" s="10">
        <v>14</v>
      </c>
      <c r="D14" s="10">
        <v>0</v>
      </c>
      <c r="E14" s="10">
        <v>0</v>
      </c>
      <c r="F14" s="10">
        <v>14</v>
      </c>
      <c r="G14" s="10">
        <v>0</v>
      </c>
    </row>
    <row r="15" spans="1:7" x14ac:dyDescent="0.25">
      <c r="A15" s="12" t="s">
        <v>421</v>
      </c>
      <c r="B15" s="12">
        <v>6</v>
      </c>
      <c r="C15" s="12">
        <v>18</v>
      </c>
      <c r="D15" s="12">
        <v>0</v>
      </c>
      <c r="E15" s="12">
        <v>0</v>
      </c>
      <c r="F15" s="12">
        <v>18</v>
      </c>
      <c r="G15" s="12">
        <v>0</v>
      </c>
    </row>
    <row r="16" spans="1:7" x14ac:dyDescent="0.25">
      <c r="A16" s="10" t="s">
        <v>423</v>
      </c>
      <c r="B16" s="10">
        <v>4</v>
      </c>
      <c r="C16" s="10">
        <v>12</v>
      </c>
      <c r="D16" s="10">
        <v>0</v>
      </c>
      <c r="E16" s="10">
        <v>0</v>
      </c>
      <c r="F16" s="10">
        <v>12</v>
      </c>
      <c r="G16" s="10">
        <v>0</v>
      </c>
    </row>
    <row r="17" spans="1:7" x14ac:dyDescent="0.25">
      <c r="A17" s="12" t="s">
        <v>268</v>
      </c>
      <c r="B17" s="12">
        <v>3</v>
      </c>
      <c r="C17" s="12">
        <v>10</v>
      </c>
      <c r="D17" s="12">
        <v>0</v>
      </c>
      <c r="E17" s="12">
        <v>0</v>
      </c>
      <c r="F17" s="12">
        <v>10</v>
      </c>
      <c r="G17" s="12">
        <v>0</v>
      </c>
    </row>
    <row r="18" spans="1:7" x14ac:dyDescent="0.25">
      <c r="A18" s="10" t="s">
        <v>426</v>
      </c>
      <c r="B18" s="10">
        <v>4</v>
      </c>
      <c r="C18" s="10">
        <v>12</v>
      </c>
      <c r="D18" s="10">
        <v>0</v>
      </c>
      <c r="E18" s="10">
        <v>0</v>
      </c>
      <c r="F18" s="10">
        <v>12</v>
      </c>
      <c r="G18" s="10">
        <v>0</v>
      </c>
    </row>
    <row r="19" spans="1:7" x14ac:dyDescent="0.25">
      <c r="A19" s="12" t="s">
        <v>428</v>
      </c>
      <c r="B19" s="12">
        <v>2</v>
      </c>
      <c r="C19" s="12">
        <v>10</v>
      </c>
      <c r="D19" s="12">
        <v>0</v>
      </c>
      <c r="E19" s="12">
        <v>0</v>
      </c>
      <c r="F19" s="12">
        <v>10</v>
      </c>
      <c r="G19" s="12">
        <v>0</v>
      </c>
    </row>
    <row r="20" spans="1:7" x14ac:dyDescent="0.25">
      <c r="A20" s="10" t="s">
        <v>311</v>
      </c>
      <c r="B20" s="10">
        <v>1</v>
      </c>
      <c r="C20" s="10">
        <v>7</v>
      </c>
      <c r="D20" s="10">
        <v>0</v>
      </c>
      <c r="E20" s="10">
        <v>0</v>
      </c>
      <c r="F20" s="10">
        <v>7</v>
      </c>
      <c r="G20" s="10">
        <v>0</v>
      </c>
    </row>
    <row r="21" spans="1:7" x14ac:dyDescent="0.25">
      <c r="A21" s="12" t="s">
        <v>431</v>
      </c>
      <c r="B21" s="12">
        <v>46</v>
      </c>
      <c r="C21" s="12">
        <v>145</v>
      </c>
      <c r="D21" s="12">
        <v>0</v>
      </c>
      <c r="E21" s="12">
        <v>0</v>
      </c>
      <c r="F21" s="12">
        <v>145</v>
      </c>
      <c r="G21" s="12">
        <v>0</v>
      </c>
    </row>
    <row r="22" spans="1:7" x14ac:dyDescent="0.25">
      <c r="A22" s="10"/>
      <c r="B22" s="10"/>
      <c r="C22" s="10"/>
      <c r="D22" s="10"/>
      <c r="E22" s="10"/>
      <c r="F22" s="10"/>
      <c r="G22" s="10"/>
    </row>
    <row r="23" spans="1:7" x14ac:dyDescent="0.25">
      <c r="A23" s="17" t="s">
        <v>1505</v>
      </c>
      <c r="B23" s="17">
        <v>0</v>
      </c>
      <c r="C23" s="17"/>
      <c r="D23" s="17"/>
      <c r="E23" s="17"/>
      <c r="F23" s="17"/>
      <c r="G23" s="17"/>
    </row>
    <row r="26" spans="1:7" ht="15.75" x14ac:dyDescent="0.25">
      <c r="A26" s="3" t="s">
        <v>1506</v>
      </c>
      <c r="B26" s="3"/>
      <c r="C26" s="3"/>
      <c r="D26" s="3"/>
      <c r="E26" s="3"/>
      <c r="F26" s="3"/>
      <c r="G26" s="3"/>
    </row>
    <row r="27" spans="1:7" x14ac:dyDescent="0.25">
      <c r="A27" s="11" t="s">
        <v>1459</v>
      </c>
      <c r="B27" s="11" t="s">
        <v>1475</v>
      </c>
      <c r="C27" s="11" t="s">
        <v>1507</v>
      </c>
      <c r="D27" s="11" t="s">
        <v>1508</v>
      </c>
    </row>
    <row r="28" spans="1:7" x14ac:dyDescent="0.25">
      <c r="A28" s="10" t="s">
        <v>1489</v>
      </c>
      <c r="B28" s="10">
        <f>COUNTIFS('Bug Report'!E:E,"Critical",'Bug Report'!N:N,"Open")</f>
        <v>1</v>
      </c>
      <c r="C28" s="10">
        <f>COUNTIFS('Bug Report'!E:E,"Critical",'Bug Report'!N:N,"Closed")</f>
        <v>0</v>
      </c>
      <c r="D28" s="10">
        <f>B28+C28</f>
        <v>1</v>
      </c>
    </row>
    <row r="29" spans="1:7" x14ac:dyDescent="0.25">
      <c r="A29" s="12" t="s">
        <v>1480</v>
      </c>
      <c r="B29" s="12">
        <f>COUNTIFS('Bug Report'!E:E,"Major",'Bug Report'!N:N,"Open")</f>
        <v>1</v>
      </c>
      <c r="C29" s="12">
        <f>COUNTIFS('Bug Report'!E:E,"Major",'Bug Report'!N:N,"Closed")</f>
        <v>0</v>
      </c>
      <c r="D29" s="12">
        <f>B29+C29</f>
        <v>1</v>
      </c>
    </row>
    <row r="30" spans="1:7" x14ac:dyDescent="0.25">
      <c r="A30" s="10" t="s">
        <v>1469</v>
      </c>
      <c r="B30" s="10">
        <f>COUNTIFS('Bug Report'!E:E,"Minor",'Bug Report'!N:N,"Open")</f>
        <v>1</v>
      </c>
      <c r="C30" s="10">
        <f>COUNTIFS('Bug Report'!E:E,"Minor",'Bug Report'!N:N,"Closed")</f>
        <v>0</v>
      </c>
      <c r="D30" s="10">
        <f>B30+C30</f>
        <v>1</v>
      </c>
    </row>
    <row r="31" spans="1:7" x14ac:dyDescent="0.25">
      <c r="A31" s="12" t="s">
        <v>1509</v>
      </c>
      <c r="B31" s="12">
        <f>COUNTIFS('Bug Report'!E:E,"Trivial",'Bug Report'!N:N,"Open")</f>
        <v>0</v>
      </c>
      <c r="C31" s="12">
        <f>COUNTIFS('Bug Report'!E:E,"Trivial",'Bug Report'!N:N,"Closed")</f>
        <v>0</v>
      </c>
      <c r="D31" s="12">
        <f>B31+C31</f>
        <v>0</v>
      </c>
    </row>
    <row r="32" spans="1:7" x14ac:dyDescent="0.25">
      <c r="A32" s="10" t="s">
        <v>1508</v>
      </c>
      <c r="B32" s="10">
        <f>SUM(B28:B31)</f>
        <v>3</v>
      </c>
      <c r="C32" s="10">
        <f>SUM(C28:C31)</f>
        <v>0</v>
      </c>
      <c r="D32" s="10">
        <f>SUM(D28:D31)</f>
        <v>3</v>
      </c>
    </row>
    <row r="34" spans="1:7" ht="15.75" x14ac:dyDescent="0.25">
      <c r="A34" s="3" t="s">
        <v>1510</v>
      </c>
      <c r="B34" s="3"/>
      <c r="C34" s="3"/>
      <c r="D34" s="3"/>
      <c r="E34" s="3"/>
      <c r="F34" s="3"/>
      <c r="G34" s="3"/>
    </row>
    <row r="35" spans="1:7" ht="15" customHeight="1" x14ac:dyDescent="0.25">
      <c r="A35" s="1" t="s">
        <v>1511</v>
      </c>
      <c r="B35" s="1"/>
      <c r="C35" s="1"/>
      <c r="D35" s="1"/>
      <c r="E35" s="1"/>
      <c r="F35" s="1"/>
      <c r="G35" s="1"/>
    </row>
    <row r="36" spans="1:7" x14ac:dyDescent="0.25">
      <c r="A36" s="1"/>
      <c r="B36" s="1"/>
      <c r="C36" s="1"/>
      <c r="D36" s="1"/>
      <c r="E36" s="1"/>
      <c r="F36" s="1"/>
      <c r="G36" s="1"/>
    </row>
    <row r="37" spans="1:7" x14ac:dyDescent="0.25">
      <c r="A37" s="1"/>
      <c r="B37" s="1"/>
      <c r="C37" s="1"/>
      <c r="D37" s="1"/>
      <c r="E37" s="1"/>
      <c r="F37" s="1"/>
      <c r="G37" s="1"/>
    </row>
    <row r="38" spans="1:7" x14ac:dyDescent="0.25">
      <c r="A38" s="1"/>
      <c r="B38" s="1"/>
      <c r="C38" s="1"/>
      <c r="D38" s="1"/>
      <c r="E38" s="1"/>
      <c r="F38" s="1"/>
      <c r="G38" s="1"/>
    </row>
    <row r="40" spans="1:7" x14ac:dyDescent="0.25">
      <c r="A40" s="6" t="s">
        <v>1512</v>
      </c>
    </row>
    <row r="41" spans="1:7" x14ac:dyDescent="0.25">
      <c r="A41" t="s">
        <v>1513</v>
      </c>
    </row>
    <row r="42" spans="1:7" x14ac:dyDescent="0.25">
      <c r="A42" t="s">
        <v>1514</v>
      </c>
    </row>
  </sheetData>
  <mergeCells count="5">
    <mergeCell ref="A1:G1"/>
    <mergeCell ref="A8:G8"/>
    <mergeCell ref="A26:G26"/>
    <mergeCell ref="A34:G34"/>
    <mergeCell ref="A35:G3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 Page</vt:lpstr>
      <vt:lpstr>Test Plan</vt:lpstr>
      <vt:lpstr>Requirement Analysis</vt:lpstr>
      <vt:lpstr>RTM</vt:lpstr>
      <vt:lpstr>Module Overview</vt:lpstr>
      <vt:lpstr>Test Scenarios</vt:lpstr>
      <vt:lpstr>Test Cases</vt:lpstr>
      <vt:lpstr>Bug Report</vt:lpstr>
      <vt:lpstr>Test Summary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Rukaiya Tanha</cp:lastModifiedBy>
  <cp:revision>0</cp:revision>
  <dcterms:created xsi:type="dcterms:W3CDTF">2026-06-30T14:03:13Z</dcterms:created>
  <dcterms:modified xsi:type="dcterms:W3CDTF">2026-06-30T16:10:41Z</dcterms:modified>
  <dc:language>en-US</dc:language>
</cp:coreProperties>
</file>